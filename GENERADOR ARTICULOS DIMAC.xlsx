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rian\Desktop\"/>
    </mc:Choice>
  </mc:AlternateContent>
  <xr:revisionPtr revIDLastSave="0" documentId="13_ncr:1_{D028197D-30D6-4E1A-82CB-C773218C95B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ERFILES" sheetId="1" r:id="rId1"/>
    <sheet name="ACCESORIOS" sheetId="2" r:id="rId2"/>
    <sheet name="MAESTRO ACABADOS" sheetId="3" r:id="rId3"/>
    <sheet name="SEGUIMIENTO" sheetId="4" r:id="rId4"/>
    <sheet name="CONFIGURACION" sheetId="5" r:id="rId5"/>
    <sheet name="MAESTRO TARIFAS" sheetId="6" r:id="rId6"/>
    <sheet name="VALIDACION TARIFAS" sheetId="7" r:id="rId7"/>
    <sheet name="DATOS COSTES ACABADOS" sheetId="8" r:id="rId8"/>
    <sheet name="DATOS COSTES POLIAMIDAS" sheetId="9" r:id="rId9"/>
    <sheet name="DATOS COSTES MECANIZADO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7" l="1"/>
  <c r="H1" i="7"/>
  <c r="D4" i="7" s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V202" i="1"/>
  <c r="U202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V201" i="1"/>
  <c r="U201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V200" i="1"/>
  <c r="U200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V199" i="1"/>
  <c r="U199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V198" i="1"/>
  <c r="U198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V197" i="1"/>
  <c r="U197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V196" i="1"/>
  <c r="U196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V195" i="1"/>
  <c r="U195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V194" i="1"/>
  <c r="U194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V193" i="1"/>
  <c r="U193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V192" i="1"/>
  <c r="U192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V191" i="1"/>
  <c r="U191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V190" i="1"/>
  <c r="U190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V189" i="1"/>
  <c r="U189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V188" i="1"/>
  <c r="U188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V187" i="1"/>
  <c r="U187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V186" i="1"/>
  <c r="U186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V185" i="1"/>
  <c r="U185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V184" i="1"/>
  <c r="U184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V183" i="1"/>
  <c r="U183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V182" i="1"/>
  <c r="U182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V181" i="1"/>
  <c r="U181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V180" i="1"/>
  <c r="U180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V179" i="1"/>
  <c r="U179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V178" i="1"/>
  <c r="U178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V177" i="1"/>
  <c r="U177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V176" i="1"/>
  <c r="U176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V175" i="1"/>
  <c r="U175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V174" i="1"/>
  <c r="U174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V173" i="1"/>
  <c r="U173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V172" i="1"/>
  <c r="U172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V171" i="1"/>
  <c r="U171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V170" i="1"/>
  <c r="U170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V169" i="1"/>
  <c r="U169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V168" i="1"/>
  <c r="U168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V167" i="1"/>
  <c r="U167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V166" i="1"/>
  <c r="U166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V165" i="1"/>
  <c r="U165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V164" i="1"/>
  <c r="U164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V163" i="1"/>
  <c r="U163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V162" i="1"/>
  <c r="U162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V161" i="1"/>
  <c r="U161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V160" i="1"/>
  <c r="U160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V159" i="1"/>
  <c r="U159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V158" i="1"/>
  <c r="U158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V157" i="1"/>
  <c r="U157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V156" i="1"/>
  <c r="U156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V155" i="1"/>
  <c r="U155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V154" i="1"/>
  <c r="U154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V153" i="1"/>
  <c r="U153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V152" i="1"/>
  <c r="U152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V151" i="1"/>
  <c r="U151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V150" i="1"/>
  <c r="U150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V149" i="1"/>
  <c r="U149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V148" i="1"/>
  <c r="U148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V147" i="1"/>
  <c r="U147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V146" i="1"/>
  <c r="U146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V145" i="1"/>
  <c r="U145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V144" i="1"/>
  <c r="U144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V143" i="1"/>
  <c r="U143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V142" i="1"/>
  <c r="U142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V141" i="1"/>
  <c r="U141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V140" i="1"/>
  <c r="U140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V139" i="1"/>
  <c r="U139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V138" i="1"/>
  <c r="U138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V137" i="1"/>
  <c r="U137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V136" i="1"/>
  <c r="U136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V135" i="1"/>
  <c r="U135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V134" i="1"/>
  <c r="U134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V133" i="1"/>
  <c r="U133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V132" i="1"/>
  <c r="U132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V131" i="1"/>
  <c r="U131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V130" i="1"/>
  <c r="U130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V129" i="1"/>
  <c r="U129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V128" i="1"/>
  <c r="U128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V127" i="1"/>
  <c r="U127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V126" i="1"/>
  <c r="U126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V125" i="1"/>
  <c r="U125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V124" i="1"/>
  <c r="U124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V123" i="1"/>
  <c r="U123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V122" i="1"/>
  <c r="U122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V121" i="1"/>
  <c r="U121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V120" i="1"/>
  <c r="U120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V119" i="1"/>
  <c r="U119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V118" i="1"/>
  <c r="U118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V117" i="1"/>
  <c r="U117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V116" i="1"/>
  <c r="U116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V115" i="1"/>
  <c r="U115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V114" i="1"/>
  <c r="U114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V113" i="1"/>
  <c r="U113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V112" i="1"/>
  <c r="U112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V111" i="1"/>
  <c r="U111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V110" i="1"/>
  <c r="U110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V109" i="1"/>
  <c r="U109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V108" i="1"/>
  <c r="U108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V107" i="1"/>
  <c r="U107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V106" i="1"/>
  <c r="U106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V105" i="1"/>
  <c r="U105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V104" i="1"/>
  <c r="U104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V103" i="1"/>
  <c r="U103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V102" i="1"/>
  <c r="U102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V101" i="1"/>
  <c r="U101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V100" i="1"/>
  <c r="U100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V99" i="1"/>
  <c r="U99" i="1"/>
  <c r="BP98" i="1"/>
  <c r="BO98" i="1"/>
  <c r="BN98" i="1"/>
  <c r="BM98" i="1"/>
  <c r="BL98" i="1"/>
  <c r="BK98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V98" i="1"/>
  <c r="U98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V97" i="1"/>
  <c r="U97" i="1"/>
  <c r="BP96" i="1"/>
  <c r="BO96" i="1"/>
  <c r="BN96" i="1"/>
  <c r="BM96" i="1"/>
  <c r="BL96" i="1"/>
  <c r="BK96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V96" i="1"/>
  <c r="U96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V95" i="1"/>
  <c r="U95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V94" i="1"/>
  <c r="U94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V93" i="1"/>
  <c r="U93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V92" i="1"/>
  <c r="U92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V91" i="1"/>
  <c r="U91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V90" i="1"/>
  <c r="U90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V89" i="1"/>
  <c r="U89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V88" i="1"/>
  <c r="U88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V87" i="1"/>
  <c r="U87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V86" i="1"/>
  <c r="U86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V85" i="1"/>
  <c r="U85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V84" i="1"/>
  <c r="U84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V83" i="1"/>
  <c r="U83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V82" i="1"/>
  <c r="U82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V81" i="1"/>
  <c r="U81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V80" i="1"/>
  <c r="U80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V79" i="1"/>
  <c r="U79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V78" i="1"/>
  <c r="U78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V77" i="1"/>
  <c r="U77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V76" i="1"/>
  <c r="U76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V75" i="1"/>
  <c r="U75" i="1"/>
  <c r="BP74" i="1"/>
  <c r="BO74" i="1"/>
  <c r="BN74" i="1"/>
  <c r="BM74" i="1"/>
  <c r="BL74" i="1"/>
  <c r="BK74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V74" i="1"/>
  <c r="U74" i="1"/>
  <c r="BP73" i="1"/>
  <c r="BO73" i="1"/>
  <c r="BN73" i="1"/>
  <c r="BM73" i="1"/>
  <c r="BL73" i="1"/>
  <c r="BK73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V73" i="1"/>
  <c r="U73" i="1"/>
  <c r="BP72" i="1"/>
  <c r="BO72" i="1"/>
  <c r="BN72" i="1"/>
  <c r="BM72" i="1"/>
  <c r="BL72" i="1"/>
  <c r="BK72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V72" i="1"/>
  <c r="U72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V71" i="1"/>
  <c r="U71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V70" i="1"/>
  <c r="U70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V69" i="1"/>
  <c r="U69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V68" i="1"/>
  <c r="U68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V67" i="1"/>
  <c r="U67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V66" i="1"/>
  <c r="U66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V65" i="1"/>
  <c r="U65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V64" i="1"/>
  <c r="U64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V63" i="1"/>
  <c r="U63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V62" i="1"/>
  <c r="U62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V61" i="1"/>
  <c r="U61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V60" i="1"/>
  <c r="U60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V59" i="1"/>
  <c r="U59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V58" i="1"/>
  <c r="U58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V57" i="1"/>
  <c r="U57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V56" i="1"/>
  <c r="U56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V55" i="1"/>
  <c r="U55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V54" i="1"/>
  <c r="U54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V53" i="1"/>
  <c r="U53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V52" i="1"/>
  <c r="U52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V51" i="1"/>
  <c r="U51" i="1"/>
  <c r="BP50" i="1"/>
  <c r="BO50" i="1"/>
  <c r="BN50" i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V50" i="1"/>
  <c r="U50" i="1"/>
  <c r="BP49" i="1"/>
  <c r="BO49" i="1"/>
  <c r="BN49" i="1"/>
  <c r="BM49" i="1"/>
  <c r="BL49" i="1"/>
  <c r="BK49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V49" i="1"/>
  <c r="U49" i="1"/>
  <c r="BP48" i="1"/>
  <c r="BO48" i="1"/>
  <c r="BN48" i="1"/>
  <c r="BM48" i="1"/>
  <c r="BL48" i="1"/>
  <c r="BK48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V48" i="1"/>
  <c r="U48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V47" i="1"/>
  <c r="U47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V46" i="1"/>
  <c r="U46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V45" i="1"/>
  <c r="U45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V44" i="1"/>
  <c r="U44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V43" i="1"/>
  <c r="U43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V42" i="1"/>
  <c r="U42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V41" i="1"/>
  <c r="U41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V40" i="1"/>
  <c r="U40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V39" i="1"/>
  <c r="U39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V38" i="1"/>
  <c r="U38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V37" i="1"/>
  <c r="U37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V36" i="1"/>
  <c r="U36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V35" i="1"/>
  <c r="U35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V34" i="1"/>
  <c r="U34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V33" i="1"/>
  <c r="U33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V32" i="1"/>
  <c r="U32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V31" i="1"/>
  <c r="U31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V30" i="1"/>
  <c r="U30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V29" i="1"/>
  <c r="U29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V28" i="1"/>
  <c r="U28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V27" i="1"/>
  <c r="U27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V26" i="1"/>
  <c r="U26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V25" i="1"/>
  <c r="U25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V24" i="1"/>
  <c r="U24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V23" i="1"/>
  <c r="U23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V22" i="1"/>
  <c r="U22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V21" i="1"/>
  <c r="U21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V20" i="1"/>
  <c r="U20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V19" i="1"/>
  <c r="U19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V18" i="1"/>
  <c r="U18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V17" i="1"/>
  <c r="U17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V16" i="1"/>
  <c r="U16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V15" i="1"/>
  <c r="U15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V14" i="1"/>
  <c r="U14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V13" i="1"/>
  <c r="U13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V12" i="1"/>
  <c r="U12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V11" i="1"/>
  <c r="U11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V10" i="1"/>
  <c r="U10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V9" i="1"/>
  <c r="U9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V8" i="1"/>
  <c r="U8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V7" i="1"/>
  <c r="U7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V6" i="1"/>
  <c r="U6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V5" i="1"/>
  <c r="U5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V4" i="1"/>
  <c r="U4" i="1"/>
  <c r="BP3" i="1"/>
  <c r="BO3" i="1"/>
  <c r="BN3" i="1"/>
  <c r="BM3" i="1"/>
  <c r="BL3" i="1"/>
  <c r="BK3" i="1"/>
  <c r="BJ3" i="1"/>
  <c r="BI3" i="1"/>
  <c r="BH3" i="1"/>
  <c r="AY3" i="1"/>
  <c r="BB3" i="1" s="1"/>
  <c r="V3" i="1"/>
  <c r="U3" i="1"/>
  <c r="BC3" i="1" l="1"/>
  <c r="BD3" i="1"/>
  <c r="BE3" i="1"/>
  <c r="BF3" i="1"/>
  <c r="BG3" i="1"/>
  <c r="AZ3" i="1"/>
  <c r="BA3" i="1"/>
  <c r="B3" i="7"/>
  <c r="D3" i="7"/>
  <c r="B4" i="7"/>
  <c r="C24" i="7" l="1"/>
  <c r="C18" i="7"/>
  <c r="C10" i="7"/>
  <c r="C23" i="7"/>
  <c r="C17" i="7"/>
  <c r="C9" i="7"/>
  <c r="C22" i="7"/>
  <c r="C16" i="7"/>
  <c r="C8" i="7"/>
  <c r="C21" i="7"/>
  <c r="C15" i="7"/>
  <c r="C7" i="7"/>
  <c r="C20" i="7"/>
  <c r="C19" i="7"/>
  <c r="F24" i="7"/>
  <c r="F18" i="7"/>
  <c r="F10" i="7"/>
  <c r="F17" i="7"/>
  <c r="F23" i="7"/>
  <c r="F22" i="7"/>
  <c r="F16" i="7"/>
  <c r="F8" i="7"/>
  <c r="F21" i="7"/>
  <c r="F15" i="7"/>
  <c r="F7" i="7"/>
  <c r="F20" i="7"/>
  <c r="F19" i="7"/>
  <c r="F9" i="7"/>
  <c r="C11" i="7"/>
  <c r="C12" i="7"/>
  <c r="C13" i="7"/>
  <c r="C14" i="7"/>
</calcChain>
</file>

<file path=xl/sharedStrings.xml><?xml version="1.0" encoding="utf-8"?>
<sst xmlns="http://schemas.openxmlformats.org/spreadsheetml/2006/main" count="1380" uniqueCount="703">
  <si>
    <t>IDENTIFICACION</t>
  </si>
  <si>
    <t>GRUPOS A GENERAR  (SI / NO)</t>
  </si>
  <si>
    <t>DATOS TECNICOS</t>
  </si>
  <si>
    <t>PLANOS</t>
  </si>
  <si>
    <t>COMPONENTES ESTRUCTURA</t>
  </si>
  <si>
    <t>COMERCIAL</t>
  </si>
  <si>
    <t>MINIMOS ALMACEN</t>
  </si>
  <si>
    <t>ANEXOS</t>
  </si>
  <si>
    <t>DIVISORES PVP  (manuales por perfil)</t>
  </si>
  <si>
    <t>COSTE  (euros/m)  — automatico</t>
  </si>
  <si>
    <t>PVP TARIFA  (euros/m)  — automatico</t>
  </si>
  <si>
    <t>CONTROL GENERACION</t>
  </si>
  <si>
    <t>REF</t>
  </si>
  <si>
    <t>FAMILIA</t>
  </si>
  <si>
    <t>DENOMINACION</t>
  </si>
  <si>
    <t>CLASE/SERIE</t>
  </si>
  <si>
    <t>NORMA</t>
  </si>
  <si>
    <t>ESTADO
GEINFOR</t>
  </si>
  <si>
    <t>G0
BT</t>
  </si>
  <si>
    <t>G1
PL</t>
  </si>
  <si>
    <t>G2
BR</t>
  </si>
  <si>
    <t>G3
BL</t>
  </si>
  <si>
    <t>G4
ASP</t>
  </si>
  <si>
    <t>G6
STD</t>
  </si>
  <si>
    <t>G7
ESP</t>
  </si>
  <si>
    <t>G8
BI</t>
  </si>
  <si>
    <t>G9
MAD</t>
  </si>
  <si>
    <t>PESO
kg/m</t>
  </si>
  <si>
    <t>LONGITUD
m/barra</t>
  </si>
  <si>
    <t>PERIM.
TOTAL m</t>
  </si>
  <si>
    <t>PERIM.
EXT. m</t>
  </si>
  <si>
    <t>N
CARAS</t>
  </si>
  <si>
    <t>PLANO</t>
  </si>
  <si>
    <t>PLANO
ORIGINAL</t>
  </si>
  <si>
    <t>POLI 1</t>
  </si>
  <si>
    <t>CANT
POLI 1</t>
  </si>
  <si>
    <t>POLI 2</t>
  </si>
  <si>
    <t>CANT
POLI 2</t>
  </si>
  <si>
    <t>COMP 1</t>
  </si>
  <si>
    <t>CANT
COMP 1</t>
  </si>
  <si>
    <t>COMP 2</t>
  </si>
  <si>
    <t>CANT
COMP 2</t>
  </si>
  <si>
    <t>MECANIZADO</t>
  </si>
  <si>
    <t>PROVEEDOR</t>
  </si>
  <si>
    <t>REF.
PROV.</t>
  </si>
  <si>
    <t>LOTE
HABITUAL</t>
  </si>
  <si>
    <t>PLAZO
DIAS</t>
  </si>
  <si>
    <t>PARTIDA
ARANC.</t>
  </si>
  <si>
    <t>MIN
BRUTO</t>
  </si>
  <si>
    <t>MIN
BLANCO</t>
  </si>
  <si>
    <t>MIN
PLATA</t>
  </si>
  <si>
    <t>ANEXO</t>
  </si>
  <si>
    <t>VALOR
ANEXO</t>
  </si>
  <si>
    <t>DIV
BT</t>
  </si>
  <si>
    <t>DIV
PL</t>
  </si>
  <si>
    <t>DIV
BR</t>
  </si>
  <si>
    <t>DIV
BL</t>
  </si>
  <si>
    <t>DIV
ASP</t>
  </si>
  <si>
    <t>DIV
STD</t>
  </si>
  <si>
    <t>DIV
ESP</t>
  </si>
  <si>
    <t>DIV
BI</t>
  </si>
  <si>
    <t>DIV
MAD</t>
  </si>
  <si>
    <t>BT</t>
  </si>
  <si>
    <t>PL</t>
  </si>
  <si>
    <t>BR</t>
  </si>
  <si>
    <t>BL</t>
  </si>
  <si>
    <t>ASP</t>
  </si>
  <si>
    <t>STD</t>
  </si>
  <si>
    <t>ESP</t>
  </si>
  <si>
    <t>BI</t>
  </si>
  <si>
    <t>MAD</t>
  </si>
  <si>
    <t>ESTADO</t>
  </si>
  <si>
    <t>FECHA
GENER.</t>
  </si>
  <si>
    <t>NOTAS</t>
  </si>
  <si>
    <t>GEINFOR</t>
  </si>
  <si>
    <t>MINIMOS</t>
  </si>
  <si>
    <t>PRECIOS</t>
  </si>
  <si>
    <t>TIPO</t>
  </si>
  <si>
    <t>CLASE</t>
  </si>
  <si>
    <t>GRUPO</t>
  </si>
  <si>
    <t>SUBGRUPO</t>
  </si>
  <si>
    <t>REF. PROV.</t>
  </si>
  <si>
    <t>MIN
ALMACEN</t>
  </si>
  <si>
    <t>STOCK
MINIMO</t>
  </si>
  <si>
    <t>STOCK
MAXIMO</t>
  </si>
  <si>
    <t>COSTE
(euros/ud)</t>
  </si>
  <si>
    <t>PVP
(euros/ud)</t>
  </si>
  <si>
    <t>SUFIJO</t>
  </si>
  <si>
    <t>DESCRIPCION</t>
  </si>
  <si>
    <t>DENOMINACION_2</t>
  </si>
  <si>
    <t>ACTIVO</t>
  </si>
  <si>
    <t>052</t>
  </si>
  <si>
    <t>GRIS ANTRACITA RAL 7016</t>
  </si>
  <si>
    <t>RAL 7016 TX</t>
  </si>
  <si>
    <t>SI</t>
  </si>
  <si>
    <t>057</t>
  </si>
  <si>
    <t>NEGRO RAL 9005</t>
  </si>
  <si>
    <t>061</t>
  </si>
  <si>
    <t>GRAFITO LV9407</t>
  </si>
  <si>
    <t>018</t>
  </si>
  <si>
    <t>GRAFITO LV9407 (variante)</t>
  </si>
  <si>
    <t>011</t>
  </si>
  <si>
    <t>EFECTO MADERA ROBLE</t>
  </si>
  <si>
    <t>MADERA ROBLE</t>
  </si>
  <si>
    <t>012</t>
  </si>
  <si>
    <t>EFECTO MADERA WENGUE</t>
  </si>
  <si>
    <t>MADERA WENGUE</t>
  </si>
  <si>
    <t>NO</t>
  </si>
  <si>
    <t>CODIGO</t>
  </si>
  <si>
    <t>REF_BASE</t>
  </si>
  <si>
    <t>HOJA</t>
  </si>
  <si>
    <t>FECHA</t>
  </si>
  <si>
    <t>RESULTADO</t>
  </si>
  <si>
    <t>DETALLE</t>
  </si>
  <si>
    <t>PRECIO ALUMINIO  (promedio extrusores)</t>
  </si>
  <si>
    <t>PRECIO ALU  (euros/kg)</t>
  </si>
  <si>
    <t>Promedio extrusores: 409, 415, 596, 249, 133, 1152, 1145, 210</t>
  </si>
  <si>
    <t>PRECIOS ACABADOS  (euros por mm de perimetro)</t>
  </si>
  <si>
    <t>BL  BLANCO</t>
  </si>
  <si>
    <t>euros/m2 superficie  (MAX grupo DATOS COSTES ACABADOS)</t>
  </si>
  <si>
    <t>PL  PLATA</t>
  </si>
  <si>
    <t>BR  BRONCE</t>
  </si>
  <si>
    <t>STD RAL ESTANDAR</t>
  </si>
  <si>
    <t>ESP RAL ESPECIAL</t>
  </si>
  <si>
    <t>euros/m2 superficie  (promedio activos &gt;=4.29 grupos 5+7)</t>
  </si>
  <si>
    <t>ASP ANODIZADO ESP.</t>
  </si>
  <si>
    <t>euros/m2 superficie  (INOX LIJADO REPULIDO)</t>
  </si>
  <si>
    <t xml:space="preserve">    LIJADO (x cara)</t>
  </si>
  <si>
    <t>euros/m2 superficie x cara — solo ANOD ESP.</t>
  </si>
  <si>
    <t>MAD MADERA</t>
  </si>
  <si>
    <t>euros/m2 superficie  (fijo)</t>
  </si>
  <si>
    <t>BI  BICOLOR</t>
  </si>
  <si>
    <t>euros/m2 superficie — pendiente definir precio</t>
  </si>
  <si>
    <t>TARIFA</t>
  </si>
  <si>
    <t>BASE</t>
  </si>
  <si>
    <t>MULTIPLICADOR</t>
  </si>
  <si>
    <t>UD VENTA</t>
  </si>
  <si>
    <t>IVA</t>
  </si>
  <si>
    <t>COEFICIENTE</t>
  </si>
  <si>
    <t>40</t>
  </si>
  <si>
    <t>TARIFA BASE</t>
  </si>
  <si>
    <t>T40</t>
  </si>
  <si>
    <t>1/L</t>
  </si>
  <si>
    <t>4010</t>
  </si>
  <si>
    <t>10% descuento sobre T40</t>
  </si>
  <si>
    <t>4015</t>
  </si>
  <si>
    <t>15% descuento sobre T40</t>
  </si>
  <si>
    <t>4020</t>
  </si>
  <si>
    <t>20% descuento sobre T40</t>
  </si>
  <si>
    <t>40000</t>
  </si>
  <si>
    <t>Coste + 15% (barras)</t>
  </si>
  <si>
    <t>COSTE</t>
  </si>
  <si>
    <t>1</t>
  </si>
  <si>
    <t>50000</t>
  </si>
  <si>
    <t>Coste + 19% (barras)</t>
  </si>
  <si>
    <t>60000</t>
  </si>
  <si>
    <t>Coste + 25% (barras)</t>
  </si>
  <si>
    <t>90000</t>
  </si>
  <si>
    <t>Coste sin margen (barras)</t>
  </si>
  <si>
    <t>40100</t>
  </si>
  <si>
    <t>Exportacion T40 x1,00 sin IVA</t>
  </si>
  <si>
    <t>40103</t>
  </si>
  <si>
    <t>Exportacion T40 x1,03 sin IVA</t>
  </si>
  <si>
    <t>40106</t>
  </si>
  <si>
    <t>Exportacion T40 x1,06 sin IVA</t>
  </si>
  <si>
    <t>40109</t>
  </si>
  <si>
    <t>Exportacion T40 x1,09 sin IVA</t>
  </si>
  <si>
    <t>40112</t>
  </si>
  <si>
    <t>Exportacion T40 x1,12 sin IVA</t>
  </si>
  <si>
    <t>40115</t>
  </si>
  <si>
    <t>Exportacion T40 x1,15 sin IVA</t>
  </si>
  <si>
    <t>40118</t>
  </si>
  <si>
    <t>Exportacion T40 x1,18 sin IVA</t>
  </si>
  <si>
    <t>40121</t>
  </si>
  <si>
    <t>Exportacion T40 x1,21 sin IVA</t>
  </si>
  <si>
    <t>40133</t>
  </si>
  <si>
    <t>Exportacion T40 x1,33 sin IVA</t>
  </si>
  <si>
    <t>40136</t>
  </si>
  <si>
    <t>Exportacion T40 x1,36 sin IVA</t>
  </si>
  <si>
    <t>VALIDACION TARIFAS — selecciona REF y ACABADO</t>
  </si>
  <si>
    <t>REF:</t>
  </si>
  <si>
    <t>ACABADO:</t>
  </si>
  <si>
    <t>DENOMINACION:</t>
  </si>
  <si>
    <t>LONGITUD:</t>
  </si>
  <si>
    <t>PVP T40 (€/m):</t>
  </si>
  <si>
    <t>COSTE (€/m):</t>
  </si>
  <si>
    <t>PVP (€/m o €/barra)</t>
  </si>
  <si>
    <t>NACIONAL</t>
  </si>
  <si>
    <t>EXPORTACION</t>
  </si>
  <si>
    <t>CODIGO_ARTICULO</t>
  </si>
  <si>
    <t>UNIDAD_INTERNA</t>
  </si>
  <si>
    <t>UNIDAD_EXTERNA</t>
  </si>
  <si>
    <t>FAMILIAPRODUCTO</t>
  </si>
  <si>
    <t>BLUE 600 SABLE</t>
  </si>
  <si>
    <t>EU</t>
  </si>
  <si>
    <t>RAL 7022</t>
  </si>
  <si>
    <t>RAL 6005</t>
  </si>
  <si>
    <t>RAL 5005</t>
  </si>
  <si>
    <t>BLUE 700 SABLE</t>
  </si>
  <si>
    <t>COBREOXIDO</t>
  </si>
  <si>
    <t>RAL 7035 TX</t>
  </si>
  <si>
    <t>RAL 7034</t>
  </si>
  <si>
    <t>RAL 7022 TX</t>
  </si>
  <si>
    <t>RAL 8011</t>
  </si>
  <si>
    <t>ENCINA 7330</t>
  </si>
  <si>
    <t>RAL 5010</t>
  </si>
  <si>
    <t>RAL 6028</t>
  </si>
  <si>
    <t>RAL 8014</t>
  </si>
  <si>
    <t>RAL 8017</t>
  </si>
  <si>
    <t>RAL 8019</t>
  </si>
  <si>
    <t>RAL 5002</t>
  </si>
  <si>
    <t>RAL 8014 TX</t>
  </si>
  <si>
    <t>RAL 5009</t>
  </si>
  <si>
    <t>RAL 5011</t>
  </si>
  <si>
    <t>RAL 5013</t>
  </si>
  <si>
    <t>RAL 5017</t>
  </si>
  <si>
    <t>RAL 6002</t>
  </si>
  <si>
    <t>RAL 6009</t>
  </si>
  <si>
    <t>RAL 6021</t>
  </si>
  <si>
    <t>RAL 7006</t>
  </si>
  <si>
    <t>RAL 7011</t>
  </si>
  <si>
    <t>RAL 7012</t>
  </si>
  <si>
    <t>RAL 7015</t>
  </si>
  <si>
    <t>RAL 7016</t>
  </si>
  <si>
    <t>RAL 7031</t>
  </si>
  <si>
    <t>RAL 7035</t>
  </si>
  <si>
    <t>RAL 7038</t>
  </si>
  <si>
    <t>RAL 9005</t>
  </si>
  <si>
    <t>RAL 9011</t>
  </si>
  <si>
    <t>GRIS 2900 SABLE</t>
  </si>
  <si>
    <t>GRIS 900 SABLE</t>
  </si>
  <si>
    <t>RAL 6028 MATE</t>
  </si>
  <si>
    <t>RAL 6005 MATE</t>
  </si>
  <si>
    <t>RAL 6009 MATE</t>
  </si>
  <si>
    <t>RAL 8014 MATE</t>
  </si>
  <si>
    <t>RAL 8017 MATE</t>
  </si>
  <si>
    <t>RAL 8019 MATE</t>
  </si>
  <si>
    <t>RAL 9011 MATE</t>
  </si>
  <si>
    <t>RAL 9010 MATE</t>
  </si>
  <si>
    <t>RAL 7012 MATE</t>
  </si>
  <si>
    <t>RAL 7022 MATE</t>
  </si>
  <si>
    <t>RAL 7035 MATE</t>
  </si>
  <si>
    <t>BLEU600SABLE</t>
  </si>
  <si>
    <t>BRUN 650 SABLE</t>
  </si>
  <si>
    <t>IVOIRE 100 SABLE</t>
  </si>
  <si>
    <t>NOGAL CLARO TX</t>
  </si>
  <si>
    <t>PINO BARCELONA TX</t>
  </si>
  <si>
    <t>RAL 1001 MATE</t>
  </si>
  <si>
    <t>RAL 1001 TX</t>
  </si>
  <si>
    <t>RAL 9006</t>
  </si>
  <si>
    <t>RAL 7036</t>
  </si>
  <si>
    <t>RAL 1013 TX</t>
  </si>
  <si>
    <t>RAL 1015 TX</t>
  </si>
  <si>
    <t>RAL 1019 MATE</t>
  </si>
  <si>
    <t>RAL 1019 TX</t>
  </si>
  <si>
    <t>RAL 1021</t>
  </si>
  <si>
    <t>RAL 2001</t>
  </si>
  <si>
    <t>RAL 2010 MATE</t>
  </si>
  <si>
    <t>RAL 1020</t>
  </si>
  <si>
    <t>RAL 5003 TX</t>
  </si>
  <si>
    <t>RAL 5005 TX</t>
  </si>
  <si>
    <t>RAL 5010 MATE</t>
  </si>
  <si>
    <t>DOUGLAS</t>
  </si>
  <si>
    <t>RAL 5011 MATE</t>
  </si>
  <si>
    <t>ALISO</t>
  </si>
  <si>
    <t>RAL 5012</t>
  </si>
  <si>
    <t>RAL 6003</t>
  </si>
  <si>
    <t>RAL 6003 MATE</t>
  </si>
  <si>
    <t>RAL 6009 TX</t>
  </si>
  <si>
    <t>RAL 5014 TX</t>
  </si>
  <si>
    <t>RAL 6013</t>
  </si>
  <si>
    <t>TEKA</t>
  </si>
  <si>
    <t>RAL 6014</t>
  </si>
  <si>
    <t>RAL 6011</t>
  </si>
  <si>
    <t>SAPELLI</t>
  </si>
  <si>
    <t>RAL 6034</t>
  </si>
  <si>
    <t>RAL 6019 MATE</t>
  </si>
  <si>
    <t>HAYA</t>
  </si>
  <si>
    <t>RAL 7013</t>
  </si>
  <si>
    <t>RAL 7024 TX</t>
  </si>
  <si>
    <t>RAL 7003</t>
  </si>
  <si>
    <t>RAL 7031 TX</t>
  </si>
  <si>
    <t>RAL 7032 TX</t>
  </si>
  <si>
    <t>RAL 7040</t>
  </si>
  <si>
    <t>RAL 7030 MATE</t>
  </si>
  <si>
    <t>RAL 7042</t>
  </si>
  <si>
    <t>BURDEOS</t>
  </si>
  <si>
    <t>RAL 6019</t>
  </si>
  <si>
    <t>RAL 7021 MATE</t>
  </si>
  <si>
    <t>RAL 7042 MATE</t>
  </si>
  <si>
    <t>RAL 7023</t>
  </si>
  <si>
    <t>RAL 7044</t>
  </si>
  <si>
    <t>RAL 7045</t>
  </si>
  <si>
    <t>RAL 8016</t>
  </si>
  <si>
    <t>RAL 8016 MATE</t>
  </si>
  <si>
    <t>RAL 8022 MATE</t>
  </si>
  <si>
    <t>RAL 8028</t>
  </si>
  <si>
    <t>RAL 9001</t>
  </si>
  <si>
    <t>RAL 9002</t>
  </si>
  <si>
    <t>RAL 9004 MATE</t>
  </si>
  <si>
    <t>RAL 9005 MATE</t>
  </si>
  <si>
    <t>RAL 9007</t>
  </si>
  <si>
    <t>ROBLE ANTIGUO TX</t>
  </si>
  <si>
    <t>ROBLE OSCURO TX</t>
  </si>
  <si>
    <t>ROUGE 2100 SABLE</t>
  </si>
  <si>
    <t>ROBLE ASSI</t>
  </si>
  <si>
    <t>BRONCE LIJADO</t>
  </si>
  <si>
    <t>BRONCE MATE</t>
  </si>
  <si>
    <t>INOX LIJADO</t>
  </si>
  <si>
    <t>INOX LIJADO REPULIDO</t>
  </si>
  <si>
    <t>RAL 9005 TX</t>
  </si>
  <si>
    <t>NEGRO MATE</t>
  </si>
  <si>
    <t>ORO LIJADO</t>
  </si>
  <si>
    <t>ORO LIJADO REPULIDO</t>
  </si>
  <si>
    <t>ORO MATE</t>
  </si>
  <si>
    <t>PLATA LIJADO</t>
  </si>
  <si>
    <t>RAL 7016 MATE</t>
  </si>
  <si>
    <t>ENSAMBLADO</t>
  </si>
  <si>
    <t>FIAMANTO</t>
  </si>
  <si>
    <t>RAL 7030</t>
  </si>
  <si>
    <t>RAL 5024</t>
  </si>
  <si>
    <t>RAL 5008</t>
  </si>
  <si>
    <t>RAL 5003</t>
  </si>
  <si>
    <t>RAL 5015</t>
  </si>
  <si>
    <t>RAL 7043</t>
  </si>
  <si>
    <t>RAL 6004</t>
  </si>
  <si>
    <t>RAL 7033</t>
  </si>
  <si>
    <t>RAL 7002</t>
  </si>
  <si>
    <t>RAL 7006 MATE</t>
  </si>
  <si>
    <t>RAL 7011 MATE</t>
  </si>
  <si>
    <t>RAL 7024</t>
  </si>
  <si>
    <t>RAL 8000</t>
  </si>
  <si>
    <t>RAL 8025</t>
  </si>
  <si>
    <t>RAL 8019 TX</t>
  </si>
  <si>
    <t>PINO ENVEJECIDO TX</t>
  </si>
  <si>
    <t>RAL 8004</t>
  </si>
  <si>
    <t>RAL 8017 TX</t>
  </si>
  <si>
    <t>RAL 5010 TX</t>
  </si>
  <si>
    <t>RAL 7012 TX</t>
  </si>
  <si>
    <t>RAL 9011 TX</t>
  </si>
  <si>
    <t>RAL 8003</t>
  </si>
  <si>
    <t>RAL 9010 TX</t>
  </si>
  <si>
    <t>RAL 5009 MATE</t>
  </si>
  <si>
    <t>RAL 7015 TX</t>
  </si>
  <si>
    <t>RAL 6021 TX</t>
  </si>
  <si>
    <t>RAL 9016 TX</t>
  </si>
  <si>
    <t>RAL 6021 MATE</t>
  </si>
  <si>
    <t>RAL 7000</t>
  </si>
  <si>
    <t>RAL 6005 TX</t>
  </si>
  <si>
    <t>RAL 6008</t>
  </si>
  <si>
    <t>RAL 7031 MATE</t>
  </si>
  <si>
    <t>RAL 9016</t>
  </si>
  <si>
    <t>ENCINA</t>
  </si>
  <si>
    <t>RAL 9016 MATE</t>
  </si>
  <si>
    <t>RAL 6013 MATE</t>
  </si>
  <si>
    <t>RX7265XW</t>
  </si>
  <si>
    <t>RAL 8001</t>
  </si>
  <si>
    <t>RAL 8008</t>
  </si>
  <si>
    <t>RAL 7021</t>
  </si>
  <si>
    <t>RF9007XW</t>
  </si>
  <si>
    <t>RAL 5024 MATE</t>
  </si>
  <si>
    <t>RAL 7039 TX</t>
  </si>
  <si>
    <t>RAL 7003 MATE</t>
  </si>
  <si>
    <t>HM9905</t>
  </si>
  <si>
    <t>RAL 9007 TX</t>
  </si>
  <si>
    <t>BLANCO</t>
  </si>
  <si>
    <t>RAL 5014 MATE</t>
  </si>
  <si>
    <t>RAL 5022</t>
  </si>
  <si>
    <t>RAL 8007 MATE</t>
  </si>
  <si>
    <t>RAL 7001 MATE</t>
  </si>
  <si>
    <t>RAL 7001</t>
  </si>
  <si>
    <t>RAL 7003 TX</t>
  </si>
  <si>
    <t>RAL 8022</t>
  </si>
  <si>
    <t>RX7132XW</t>
  </si>
  <si>
    <t>LACADO BRONZE</t>
  </si>
  <si>
    <t>RAL 7037</t>
  </si>
  <si>
    <t>RAL 6012</t>
  </si>
  <si>
    <t>RAL 7010 MATE</t>
  </si>
  <si>
    <t>LV9914</t>
  </si>
  <si>
    <t>RM8126I</t>
  </si>
  <si>
    <t>RAL 7039 MATE</t>
  </si>
  <si>
    <t>RAL 9001 MATE</t>
  </si>
  <si>
    <t>RAL 8012</t>
  </si>
  <si>
    <t>RAL 8002</t>
  </si>
  <si>
    <t>RF7232XW</t>
  </si>
  <si>
    <t>RAL 6027</t>
  </si>
  <si>
    <t>RAL 5013 MATE</t>
  </si>
  <si>
    <t>RAL 9006 TX</t>
  </si>
  <si>
    <t>RAL 7021 TX</t>
  </si>
  <si>
    <t>RAL 8002 MATE</t>
  </si>
  <si>
    <t>RAL 9002 MATE</t>
  </si>
  <si>
    <t>WENGE</t>
  </si>
  <si>
    <t>RAL 6011 MATE</t>
  </si>
  <si>
    <t>RAL 9003</t>
  </si>
  <si>
    <t>RAL 6036</t>
  </si>
  <si>
    <t>RAL 5015 TX</t>
  </si>
  <si>
    <t>RAL 5013 TX</t>
  </si>
  <si>
    <t>RM-3007-I</t>
  </si>
  <si>
    <t>RAL 5004</t>
  </si>
  <si>
    <t>RAL 7009</t>
  </si>
  <si>
    <t>CEREZO</t>
  </si>
  <si>
    <t>RAL 5011 TX</t>
  </si>
  <si>
    <t>RAL 7036 MATE</t>
  </si>
  <si>
    <t>RAL 7038 TX</t>
  </si>
  <si>
    <t>GRIS ANODIC NATURA</t>
  </si>
  <si>
    <t>RX9007XW</t>
  </si>
  <si>
    <t>RAL 7006 TX</t>
  </si>
  <si>
    <t>RAL 6018</t>
  </si>
  <si>
    <t>RAL 9006 MATE</t>
  </si>
  <si>
    <t>RAL 5019 MATE</t>
  </si>
  <si>
    <t>RAL 6025</t>
  </si>
  <si>
    <t>RAL 5012 TX</t>
  </si>
  <si>
    <t>RAL 5015 MATE</t>
  </si>
  <si>
    <t>RAL 6022</t>
  </si>
  <si>
    <t>RAL 6020</t>
  </si>
  <si>
    <t>EMBERO PIRINEOS RUGOSO</t>
  </si>
  <si>
    <t>RAL 7044 MATE</t>
  </si>
  <si>
    <t>RAL 7024 MATE</t>
  </si>
  <si>
    <t>RAL 6008 TX</t>
  </si>
  <si>
    <t>PINO MEDIO SPD</t>
  </si>
  <si>
    <t>RAL 7005 MATE</t>
  </si>
  <si>
    <t>RAL 5023 MATE</t>
  </si>
  <si>
    <t>RAL 7000 TX</t>
  </si>
  <si>
    <t>RAL 7013 TX</t>
  </si>
  <si>
    <t>RAL 1013 MATE</t>
  </si>
  <si>
    <t>ACACIA CLARA</t>
  </si>
  <si>
    <t>ACACIA CLARA TX</t>
  </si>
  <si>
    <t>ACACIA OSCURO</t>
  </si>
  <si>
    <t>ACACIA OSCURO TX</t>
  </si>
  <si>
    <t>ACACIA ROJA</t>
  </si>
  <si>
    <t>ACACIA ROJA TX</t>
  </si>
  <si>
    <t>AFRIC TX</t>
  </si>
  <si>
    <t>ALISO TX</t>
  </si>
  <si>
    <t>BLANCO EUROPEO</t>
  </si>
  <si>
    <t>CASTAÑO CLARO</t>
  </si>
  <si>
    <t>CASTAÑO OSCURO</t>
  </si>
  <si>
    <t>CASTAÑO OSCURO TX</t>
  </si>
  <si>
    <t>CEDRO ROJO</t>
  </si>
  <si>
    <t>CEDRO ROJO TX</t>
  </si>
  <si>
    <t>CEDRO TX</t>
  </si>
  <si>
    <t>CEREZO CLARO</t>
  </si>
  <si>
    <t>CEREZO CLARO TX</t>
  </si>
  <si>
    <t>CEREZO MEDITERRANEO</t>
  </si>
  <si>
    <t>CEREZO MEDITERRANEO TX</t>
  </si>
  <si>
    <t>CEREZO OSCURO</t>
  </si>
  <si>
    <t>CEREZO OSCURO TX</t>
  </si>
  <si>
    <t>DOUGLAS EUROPEO</t>
  </si>
  <si>
    <t>DOUGLAS EUROPEO TX</t>
  </si>
  <si>
    <t>DOUGLAS TX</t>
  </si>
  <si>
    <t>EMBERO CLARO</t>
  </si>
  <si>
    <t>EMBERO CLARO TX</t>
  </si>
  <si>
    <t>EMBERO DORADO TX</t>
  </si>
  <si>
    <t>EMBERO OSCURO</t>
  </si>
  <si>
    <t>EMBERO OSCURO TX</t>
  </si>
  <si>
    <t>ENCINA TX</t>
  </si>
  <si>
    <t>HAYA TX</t>
  </si>
  <si>
    <t>IVORE TX</t>
  </si>
  <si>
    <t>GRIS 150 SABLE</t>
  </si>
  <si>
    <t>GRIS 250 SABLE</t>
  </si>
  <si>
    <t>GRIS 2500 SABLE</t>
  </si>
  <si>
    <t>GRIS 2800 SABLE</t>
  </si>
  <si>
    <t>GRIS 400 SABLE</t>
  </si>
  <si>
    <t>NOGAL ANDALUZ</t>
  </si>
  <si>
    <t>NOGAL ANDALUZ TX</t>
  </si>
  <si>
    <t>NOGAL AUSTRAL</t>
  </si>
  <si>
    <t>NOGAL CLARO</t>
  </si>
  <si>
    <t>NOGAL OSCURO</t>
  </si>
  <si>
    <t>NOGAL OSCURO TX</t>
  </si>
  <si>
    <t>NOGAL TANGANICA TX</t>
  </si>
  <si>
    <t>NOIR 200 SABLE</t>
  </si>
  <si>
    <t>NOIR 2100 SABLE</t>
  </si>
  <si>
    <t>PINO ANTIGUO TX</t>
  </si>
  <si>
    <t>PINO AUSTRALIANO</t>
  </si>
  <si>
    <t>PINO MEDITERRANEO</t>
  </si>
  <si>
    <t>PINO MOBILA</t>
  </si>
  <si>
    <t>PINO MOBILA TX</t>
  </si>
  <si>
    <t>PINO NUDO</t>
  </si>
  <si>
    <t>PINO NUDO TX</t>
  </si>
  <si>
    <t>PYRITE 2525/YW207F</t>
  </si>
  <si>
    <t>RAL 1000</t>
  </si>
  <si>
    <t>RAL 1001</t>
  </si>
  <si>
    <t>RAL 1002</t>
  </si>
  <si>
    <t>RAL 1011</t>
  </si>
  <si>
    <t>RAL 1012</t>
  </si>
  <si>
    <t>RAL 1013</t>
  </si>
  <si>
    <t>RAL 1014</t>
  </si>
  <si>
    <t>RAL 1015</t>
  </si>
  <si>
    <t>RAL 1015 MATE</t>
  </si>
  <si>
    <t>RAL 1016</t>
  </si>
  <si>
    <t>RAL 1018</t>
  </si>
  <si>
    <t>RAL 1018 MATE</t>
  </si>
  <si>
    <t>RAL 1019</t>
  </si>
  <si>
    <t>RAL 9017</t>
  </si>
  <si>
    <t>RAL 1024</t>
  </si>
  <si>
    <t>RAL 1034</t>
  </si>
  <si>
    <t>RAL 9018</t>
  </si>
  <si>
    <t>RAL 2001 TX</t>
  </si>
  <si>
    <t>RAL 2003</t>
  </si>
  <si>
    <t>ROBLE AMERICANO</t>
  </si>
  <si>
    <t>RAL 2008</t>
  </si>
  <si>
    <t>RAL 3000</t>
  </si>
  <si>
    <t>ROBLE ANTIGUO</t>
  </si>
  <si>
    <t>RAL 3001</t>
  </si>
  <si>
    <t>ROBLE CLARO</t>
  </si>
  <si>
    <t>RAL 3003</t>
  </si>
  <si>
    <t>ROBLE CLARO TX</t>
  </si>
  <si>
    <t>RAL 3003 MATE</t>
  </si>
  <si>
    <t>ROBLE F7</t>
  </si>
  <si>
    <t>ROBLE IRLANDES TX</t>
  </si>
  <si>
    <t>ROBLE MEDIO</t>
  </si>
  <si>
    <t>ROBLE MEDIO TX</t>
  </si>
  <si>
    <t>RAL 3004 TX</t>
  </si>
  <si>
    <t>ROBLE OSCURO</t>
  </si>
  <si>
    <t>ROUGE 100 SABLE</t>
  </si>
  <si>
    <t>SAPELLI CAOBA</t>
  </si>
  <si>
    <t>RAL 3005</t>
  </si>
  <si>
    <t>RAL 3005 MATE</t>
  </si>
  <si>
    <t>SAPELLI CLARO</t>
  </si>
  <si>
    <t>RAL 3005 TX</t>
  </si>
  <si>
    <t>SAPELLI CLARO TX</t>
  </si>
  <si>
    <t>SAPELLI TX</t>
  </si>
  <si>
    <t>RAL 3011</t>
  </si>
  <si>
    <t>SAPELLI VASCO</t>
  </si>
  <si>
    <t>RAL 3020</t>
  </si>
  <si>
    <t>SAPELLI CAOBA TX</t>
  </si>
  <si>
    <t>RAL 34000</t>
  </si>
  <si>
    <t>RAL 4001 MATE</t>
  </si>
  <si>
    <t>SAPELLI VASCO TX</t>
  </si>
  <si>
    <t>TEKA CLARA</t>
  </si>
  <si>
    <t>RAL 5000 MATE</t>
  </si>
  <si>
    <t>TEKA CLARA TX</t>
  </si>
  <si>
    <t>VERD 500 SABLE</t>
  </si>
  <si>
    <t>WENGE TX</t>
  </si>
  <si>
    <t>RAL 6020 MATE</t>
  </si>
  <si>
    <t>RAL 3011 MATE</t>
  </si>
  <si>
    <t>PLATA LIJADO REPULIDO</t>
  </si>
  <si>
    <t>PLATA MATE</t>
  </si>
  <si>
    <t>Y2206F STEEL BRONZE 1</t>
  </si>
  <si>
    <t>RAL 5003 MATE</t>
  </si>
  <si>
    <t>BRONCE LIJADO REPULIDO</t>
  </si>
  <si>
    <t>INOX MATE</t>
  </si>
  <si>
    <t>NEGRO LIJADO</t>
  </si>
  <si>
    <t>NEGRO LIJADO REPULIDO</t>
  </si>
  <si>
    <t>RAL 1020 MATE</t>
  </si>
  <si>
    <t>RAL 7032 MATE</t>
  </si>
  <si>
    <t>RF7107XW</t>
  </si>
  <si>
    <t>NOGAL ANDALUZ OSCURO TX</t>
  </si>
  <si>
    <t>RAL 5018</t>
  </si>
  <si>
    <t>RAL 7015 MATE</t>
  </si>
  <si>
    <t>RAL 7047</t>
  </si>
  <si>
    <t>RAL MARS 2525</t>
  </si>
  <si>
    <t>RAL 5014</t>
  </si>
  <si>
    <t>RT-7119-I</t>
  </si>
  <si>
    <t>RAL 8007</t>
  </si>
  <si>
    <t>RAL 8011 TEXTURADO</t>
  </si>
  <si>
    <t>RAL 7044 TX</t>
  </si>
  <si>
    <t>RAL 3003 TX</t>
  </si>
  <si>
    <t>NOIR 163 CHINE SXJ02F</t>
  </si>
  <si>
    <t>RAL 5005 MATE</t>
  </si>
  <si>
    <t>RAL 7033 MATE</t>
  </si>
  <si>
    <t>RAL 7001 TX</t>
  </si>
  <si>
    <t>RAL 6025 MATE</t>
  </si>
  <si>
    <t>RAL 8003 TX</t>
  </si>
  <si>
    <t>ROBLE RUSTICO</t>
  </si>
  <si>
    <t>PINO MEDITERRANEO TX</t>
  </si>
  <si>
    <t>RAL 8025 MATE</t>
  </si>
  <si>
    <t>RAL 7039</t>
  </si>
  <si>
    <t>NOIR 100 RF9954XW</t>
  </si>
  <si>
    <t>NOIR 100 SABLE</t>
  </si>
  <si>
    <t>DF-1510-XW</t>
  </si>
  <si>
    <t>CEREZO CATEDRALES TX</t>
  </si>
  <si>
    <t>INOX LACA ANODIC</t>
  </si>
  <si>
    <t>BRONCE LACA ANODIC</t>
  </si>
  <si>
    <t>ORO LACA ANODIC</t>
  </si>
  <si>
    <t>RAL 7034 TX</t>
  </si>
  <si>
    <t>RAL 5024 TX</t>
  </si>
  <si>
    <t>RAL 7034 MATE</t>
  </si>
  <si>
    <t>RAL 7033 TX</t>
  </si>
  <si>
    <t>FRESNO TX</t>
  </si>
  <si>
    <t>OLMO TX</t>
  </si>
  <si>
    <t>RAL 7009 MATE</t>
  </si>
  <si>
    <t>RAL 7009 TX</t>
  </si>
  <si>
    <t>LICHEN TX</t>
  </si>
  <si>
    <t>RAL 7037 MATE</t>
  </si>
  <si>
    <t>RAL 9007 MATE</t>
  </si>
  <si>
    <t>RAL 7038 MATE</t>
  </si>
  <si>
    <t>CEREZO DORADO TX</t>
  </si>
  <si>
    <t>RAL 9003 MATE</t>
  </si>
  <si>
    <t>AFRIC</t>
  </si>
  <si>
    <t>RAL 7037 TX</t>
  </si>
  <si>
    <t>RAL 3022 MATE</t>
  </si>
  <si>
    <t>RAL 3011 TX</t>
  </si>
  <si>
    <t>RAL 7023 TX</t>
  </si>
  <si>
    <t>ACACIA PIRINEOS TX</t>
  </si>
  <si>
    <t>RAIZ TX</t>
  </si>
  <si>
    <t>RAIZ</t>
  </si>
  <si>
    <t>ROBLE GOLDEN TX</t>
  </si>
  <si>
    <t>TEKA TX</t>
  </si>
  <si>
    <t>ACACIA</t>
  </si>
  <si>
    <t>ACACIA TX</t>
  </si>
  <si>
    <t>BRUN 2650 SABLE</t>
  </si>
  <si>
    <t>RAL 3012 MATE</t>
  </si>
  <si>
    <t>GUASIBAN TX</t>
  </si>
  <si>
    <t>DOUGLAS PIRINEOS</t>
  </si>
  <si>
    <t>MANGANESE 2525</t>
  </si>
  <si>
    <t>RAL 5008 TX</t>
  </si>
  <si>
    <t>RAL 1000 MATE</t>
  </si>
  <si>
    <t>COBREOXIDO C2</t>
  </si>
  <si>
    <t>QUARTZ GLINT</t>
  </si>
  <si>
    <t>NOIR 100 RF9954XW C2</t>
  </si>
  <si>
    <t>RAL 5004 TX</t>
  </si>
  <si>
    <t>RAL 9011 TX C2</t>
  </si>
  <si>
    <t>RAL 5008 MATE</t>
  </si>
  <si>
    <t>ROBLE ASSI TX</t>
  </si>
  <si>
    <t>Y2M25I LIGHT BRONZE</t>
  </si>
  <si>
    <t>RAL 9011 MATE C2</t>
  </si>
  <si>
    <t>RAL 6013 TX</t>
  </si>
  <si>
    <t>Y4307 DJIBOUTI SABLE</t>
  </si>
  <si>
    <t>DOUGLAS PIRINEOS TX</t>
  </si>
  <si>
    <t>RAL 6019 TX</t>
  </si>
  <si>
    <t>RAL 9016 C2</t>
  </si>
  <si>
    <t>RAL 8019 MATE C2</t>
  </si>
  <si>
    <t>RAL 3009</t>
  </si>
  <si>
    <t>RAL 5004 MATE</t>
  </si>
  <si>
    <t>RAL 9001 TX</t>
  </si>
  <si>
    <t>RAL 8017 MATE C2</t>
  </si>
  <si>
    <t>RAL 6009 MATE C2</t>
  </si>
  <si>
    <t>GRIS 2800 SABLE C2</t>
  </si>
  <si>
    <t>ROBLE BLANCO</t>
  </si>
  <si>
    <t>RAL 8024</t>
  </si>
  <si>
    <t>RAL 6011 TX</t>
  </si>
  <si>
    <t>RAL 7023 MATE</t>
  </si>
  <si>
    <t>RAL 6003 TX C2</t>
  </si>
  <si>
    <t>RAL 7010 TX</t>
  </si>
  <si>
    <t>NOGAL TX 802</t>
  </si>
  <si>
    <t>EMBERO TX 802</t>
  </si>
  <si>
    <t>RAL 6032 TX</t>
  </si>
  <si>
    <t>RAL 1035</t>
  </si>
  <si>
    <t>RAL 9010 TX C2</t>
  </si>
  <si>
    <t>RAL 7022 TX C2</t>
  </si>
  <si>
    <t>RAL 6027 TX</t>
  </si>
  <si>
    <t>RAL 8017 TX C2</t>
  </si>
  <si>
    <t>RAL 3020 MATE</t>
  </si>
  <si>
    <t>NOIR 2200 SABLE</t>
  </si>
  <si>
    <t>RAL 5021</t>
  </si>
  <si>
    <t>CEREZO DORADO</t>
  </si>
  <si>
    <t>ALISO RUGOSO</t>
  </si>
  <si>
    <t>RAL 9010 MATE C2</t>
  </si>
  <si>
    <t>RAL 8022 TX</t>
  </si>
  <si>
    <t>RAL 7036 TX</t>
  </si>
  <si>
    <t>RAL 7030 TX</t>
  </si>
  <si>
    <t>RAL 5001 TX</t>
  </si>
  <si>
    <t>RAL 7040 TX</t>
  </si>
  <si>
    <t>ROBLE PIRINEOS TX</t>
  </si>
  <si>
    <t>RAL 9004</t>
  </si>
  <si>
    <t>TEKA OSCURO TX</t>
  </si>
  <si>
    <t>RAL 5002 MATE</t>
  </si>
  <si>
    <t>RAL 5002 TX</t>
  </si>
  <si>
    <t>RAL 6007</t>
  </si>
  <si>
    <t>CEREZO CATEDRALES</t>
  </si>
  <si>
    <t>RAL 1021 MATE</t>
  </si>
  <si>
    <t>ROBLE RUSTICO TX</t>
  </si>
  <si>
    <t>COSTE M/L</t>
  </si>
  <si>
    <t>POL202400</t>
  </si>
  <si>
    <t>POL948700</t>
  </si>
  <si>
    <t>POL276000</t>
  </si>
  <si>
    <t>POL977700</t>
  </si>
  <si>
    <t>POL979400</t>
  </si>
  <si>
    <t>POL956059</t>
  </si>
  <si>
    <t>POL495000</t>
  </si>
  <si>
    <t>POL969859</t>
  </si>
  <si>
    <t>POL375400</t>
  </si>
  <si>
    <t>POL002316</t>
  </si>
  <si>
    <t>POL425000</t>
  </si>
  <si>
    <t>POL430400</t>
  </si>
  <si>
    <t>POL494500</t>
  </si>
  <si>
    <t>POL806800</t>
  </si>
  <si>
    <t>POL835600</t>
  </si>
  <si>
    <t>POL840100</t>
  </si>
  <si>
    <t>POL824200</t>
  </si>
  <si>
    <t>POL842700</t>
  </si>
  <si>
    <t>POL495001</t>
  </si>
  <si>
    <t>A0002032</t>
  </si>
  <si>
    <t>A0002033</t>
  </si>
  <si>
    <t>A0ME4015</t>
  </si>
  <si>
    <t>A0ME4017</t>
  </si>
  <si>
    <t>A0ME4025</t>
  </si>
  <si>
    <t>A0ME4645</t>
  </si>
  <si>
    <t>C062ME01</t>
  </si>
  <si>
    <t>C062ME02</t>
  </si>
  <si>
    <t>C062ME06</t>
  </si>
  <si>
    <t>ER72ME01</t>
  </si>
  <si>
    <t>ER72ME02</t>
  </si>
  <si>
    <t>ER72ME10</t>
  </si>
  <si>
    <t>ER72ME30</t>
  </si>
  <si>
    <t>GR50ME10</t>
  </si>
  <si>
    <t>A0004750</t>
  </si>
  <si>
    <t>SOLAPE FICTIO</t>
  </si>
  <si>
    <t>TOLEDO</t>
  </si>
  <si>
    <t>PROVISIONAL</t>
  </si>
  <si>
    <t>TH</t>
  </si>
  <si>
    <t>LISTO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</si>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</sst>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000"/>
  </numFmts>
  <fonts count="9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b/>
      <sz val="9"/>
      <color rgb="FF222222"/>
      <name val="Calibri"/>
    </font>
    <font>
      <sz val="10"/>
      <name val="Calibri"/>
    </font>
    <font>
      <b/>
      <sz val="10"/>
      <name val="Calibri"/>
    </font>
    <font>
      <b/>
      <sz val="11"/>
      <color rgb="FF1A3A5C"/>
      <name val="Calibri"/>
    </font>
    <font>
      <i/>
      <sz val="9"/>
      <color rgb="FF888888"/>
      <name val="Calibri"/>
    </font>
    <font>
      <sz val="11"/>
      <color rgb="FF1A3A5C"/>
      <name val="Calibri"/>
    </font>
    <font>
      <b/>
      <sz val="12"/>
      <color rgb="FFFFFFFF"/>
      <name val="Calibri"/>
    </font>
  </fonts>
  <fills count="30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1E5C2E"/>
      </patternFill>
    </fill>
    <fill>
      <patternFill patternType="solid">
        <fgColor rgb="FF0B566A"/>
      </patternFill>
    </fill>
    <fill>
      <patternFill patternType="solid">
        <fgColor rgb="FF4A6020"/>
      </patternFill>
    </fill>
    <fill>
      <patternFill patternType="solid">
        <fgColor rgb="FF4A2080"/>
      </patternFill>
    </fill>
    <fill>
      <patternFill patternType="solid">
        <fgColor rgb="FF7A3810"/>
      </patternFill>
    </fill>
    <fill>
      <patternFill patternType="solid">
        <fgColor rgb="FF5A4000"/>
      </patternFill>
    </fill>
    <fill>
      <patternFill patternType="solid">
        <fgColor rgb="FF2A4A6A"/>
      </patternFill>
    </fill>
    <fill>
      <patternFill patternType="solid">
        <fgColor rgb="FF383838"/>
      </patternFill>
    </fill>
    <fill>
      <patternFill patternType="solid">
        <fgColor rgb="FF1A5C3A"/>
      </patternFill>
    </fill>
    <fill>
      <patternFill patternType="solid">
        <fgColor rgb="FF7A1010"/>
      </patternFill>
    </fill>
    <fill>
      <patternFill patternType="solid">
        <fgColor rgb="FFD0DFF0"/>
      </patternFill>
    </fill>
    <fill>
      <patternFill patternType="solid">
        <fgColor rgb="FFD4EDD8"/>
      </patternFill>
    </fill>
    <fill>
      <patternFill patternType="solid">
        <fgColor rgb="FFD0E8EE"/>
      </patternFill>
    </fill>
    <fill>
      <patternFill patternType="solid">
        <fgColor rgb="FFE4EDD0"/>
      </patternFill>
    </fill>
    <fill>
      <patternFill patternType="solid">
        <fgColor rgb="FFE2D8F5"/>
      </patternFill>
    </fill>
    <fill>
      <patternFill patternType="solid">
        <fgColor rgb="FFFAE8D8"/>
      </patternFill>
    </fill>
    <fill>
      <patternFill patternType="solid">
        <fgColor rgb="FFF5EDD0"/>
      </patternFill>
    </fill>
    <fill>
      <patternFill patternType="solid">
        <fgColor rgb="FFD8E8F5"/>
      </patternFill>
    </fill>
    <fill>
      <patternFill patternType="solid">
        <fgColor rgb="FFEBEBEB"/>
      </patternFill>
    </fill>
    <fill>
      <patternFill patternType="solid">
        <fgColor rgb="FFD4EDE0"/>
      </patternFill>
    </fill>
    <fill>
      <patternFill patternType="solid">
        <fgColor rgb="FFFAD8D8"/>
      </patternFill>
    </fill>
    <fill>
      <patternFill patternType="solid">
        <fgColor rgb="FFF8FEF8"/>
      </patternFill>
    </fill>
    <fill>
      <patternFill patternType="solid">
        <fgColor rgb="FF2C4A6E"/>
      </patternFill>
    </fill>
    <fill>
      <patternFill patternType="solid">
        <fgColor rgb="FFDDE8F5"/>
      </patternFill>
    </fill>
    <fill>
      <patternFill patternType="solid">
        <fgColor rgb="FFFFFFFF"/>
      </patternFill>
    </fill>
    <fill>
      <patternFill patternType="solid">
        <fgColor rgb="FFEAF5EA"/>
      </patternFill>
    </fill>
    <fill>
      <patternFill patternType="solid">
        <fgColor rgb="FFEAF0FA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0" fontId="3" fillId="24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left" vertical="center"/>
    </xf>
    <xf numFmtId="0" fontId="4" fillId="26" borderId="1" xfId="0" applyFont="1" applyFill="1" applyBorder="1" applyAlignment="1">
      <alignment horizontal="left" vertical="center"/>
    </xf>
    <xf numFmtId="164" fontId="5" fillId="27" borderId="1" xfId="0" applyNumberFormat="1" applyFont="1" applyFill="1" applyBorder="1" applyAlignment="1">
      <alignment horizontal="center" vertical="center" wrapText="1"/>
    </xf>
    <xf numFmtId="0" fontId="6" fillId="26" borderId="1" xfId="0" applyFont="1" applyFill="1" applyBorder="1" applyAlignment="1">
      <alignment horizontal="left" vertical="center"/>
    </xf>
    <xf numFmtId="164" fontId="7" fillId="27" borderId="1" xfId="0" applyNumberFormat="1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center" vertical="center" wrapText="1"/>
    </xf>
    <xf numFmtId="0" fontId="3" fillId="28" borderId="1" xfId="0" applyFont="1" applyFill="1" applyBorder="1" applyAlignment="1">
      <alignment horizontal="left" vertical="center"/>
    </xf>
    <xf numFmtId="2" fontId="3" fillId="28" borderId="1" xfId="0" applyNumberFormat="1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center" vertical="center" wrapText="1"/>
    </xf>
    <xf numFmtId="0" fontId="3" fillId="29" borderId="1" xfId="0" applyFont="1" applyFill="1" applyBorder="1" applyAlignment="1">
      <alignment horizontal="left" vertical="center"/>
    </xf>
    <xf numFmtId="2" fontId="3" fillId="29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right" vertical="center"/>
    </xf>
    <xf numFmtId="0" fontId="5" fillId="27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left" vertical="center"/>
    </xf>
    <xf numFmtId="4" fontId="3" fillId="13" borderId="1" xfId="0" applyNumberFormat="1" applyFont="1" applyFill="1" applyBorder="1" applyAlignment="1">
      <alignment horizontal="left" vertical="center"/>
    </xf>
    <xf numFmtId="0" fontId="4" fillId="22" borderId="1" xfId="0" applyFont="1" applyFill="1" applyBorder="1" applyAlignment="1">
      <alignment horizontal="right" vertical="center"/>
    </xf>
    <xf numFmtId="164" fontId="3" fillId="22" borderId="1" xfId="0" applyNumberFormat="1" applyFont="1" applyFill="1" applyBorder="1" applyAlignment="1">
      <alignment horizontal="left" vertical="center"/>
    </xf>
    <xf numFmtId="0" fontId="4" fillId="21" borderId="1" xfId="0" applyFont="1" applyFill="1" applyBorder="1" applyAlignment="1">
      <alignment horizontal="right" vertical="center"/>
    </xf>
    <xf numFmtId="164" fontId="3" fillId="21" borderId="1" xfId="0" applyNumberFormat="1" applyFont="1" applyFill="1" applyBorder="1" applyAlignment="1">
      <alignment horizontal="left" vertical="center"/>
    </xf>
    <xf numFmtId="164" fontId="3" fillId="28" borderId="1" xfId="0" applyNumberFormat="1" applyFont="1" applyFill="1" applyBorder="1" applyAlignment="1">
      <alignment horizontal="right" vertical="center"/>
    </xf>
    <xf numFmtId="165" fontId="3" fillId="28" borderId="1" xfId="0" applyNumberFormat="1" applyFont="1" applyFill="1" applyBorder="1" applyAlignment="1">
      <alignment horizontal="center" vertical="center" wrapText="1"/>
    </xf>
    <xf numFmtId="164" fontId="3" fillId="29" borderId="1" xfId="0" applyNumberFormat="1" applyFont="1" applyFill="1" applyBorder="1" applyAlignment="1">
      <alignment horizontal="right" vertical="center"/>
    </xf>
    <xf numFmtId="165" fontId="3" fillId="29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1" fillId="12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1" fillId="9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" fillId="8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1" fillId="11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1" fillId="10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1" fillId="25" borderId="1" xfId="0" applyFont="1" applyFill="1" applyBorder="1" applyAlignment="1">
      <alignment horizontal="left" vertical="center"/>
    </xf>
    <xf numFmtId="0" fontId="0" fillId="25" borderId="1" xfId="0" applyFill="1" applyBorder="1"/>
    <xf numFmtId="0" fontId="8" fillId="2" borderId="1" xfId="0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02"/>
  <sheetViews>
    <sheetView tabSelected="1" topLeftCell="AU1" zoomScale="80" workbookViewId="0">
      <pane ySplit="2" topLeftCell="A3" activePane="bottomLeft" state="frozen"/>
      <selection pane="bottomLeft" activeCell="BR4" sqref="BR4"/>
    </sheetView>
  </sheetViews>
  <sheetFormatPr baseColWidth="10" defaultColWidth="8.88671875" defaultRowHeight="14.4" x14ac:dyDescent="0.3"/>
  <cols>
    <col min="1" max="1" width="10" customWidth="1"/>
    <col min="2" max="2" width="8" customWidth="1"/>
    <col min="3" max="3" width="28" customWidth="1"/>
    <col min="4" max="4" width="14" customWidth="1"/>
    <col min="5" max="6" width="10" customWidth="1"/>
    <col min="7" max="15" width="7" customWidth="1"/>
    <col min="16" max="16" width="9" customWidth="1"/>
    <col min="17" max="17" width="10" customWidth="1"/>
    <col min="18" max="18" width="11" customWidth="1"/>
    <col min="19" max="19" width="10" customWidth="1"/>
    <col min="20" max="20" width="8" customWidth="1"/>
    <col min="21" max="22" width="14" customWidth="1"/>
    <col min="23" max="23" width="10" customWidth="1"/>
    <col min="24" max="24" width="8" customWidth="1"/>
    <col min="25" max="25" width="10" customWidth="1"/>
    <col min="26" max="26" width="8" customWidth="1"/>
    <col min="27" max="27" width="10" customWidth="1"/>
    <col min="28" max="28" width="8" customWidth="1"/>
    <col min="29" max="29" width="10" customWidth="1"/>
    <col min="30" max="30" width="8" customWidth="1"/>
    <col min="31" max="31" width="11" customWidth="1"/>
    <col min="32" max="33" width="12" customWidth="1"/>
    <col min="34" max="34" width="10" customWidth="1"/>
    <col min="35" max="35" width="8" customWidth="1"/>
    <col min="36" max="36" width="13" customWidth="1"/>
    <col min="37" max="39" width="9" customWidth="1"/>
    <col min="40" max="41" width="12" customWidth="1"/>
    <col min="42" max="50" width="8" customWidth="1"/>
    <col min="51" max="68" width="9" customWidth="1"/>
    <col min="69" max="69" width="18" customWidth="1"/>
    <col min="70" max="70" width="13" customWidth="1"/>
    <col min="71" max="71" width="25" customWidth="1"/>
  </cols>
  <sheetData>
    <row r="1" spans="1:71" ht="22.05" customHeight="1" x14ac:dyDescent="0.3">
      <c r="A1" s="49" t="s">
        <v>0</v>
      </c>
      <c r="B1" s="50"/>
      <c r="C1" s="50"/>
      <c r="D1" s="50"/>
      <c r="E1" s="50"/>
      <c r="F1" s="50"/>
      <c r="G1" s="43" t="s">
        <v>1</v>
      </c>
      <c r="H1" s="44"/>
      <c r="I1" s="44"/>
      <c r="J1" s="44"/>
      <c r="K1" s="44"/>
      <c r="L1" s="44"/>
      <c r="M1" s="44"/>
      <c r="N1" s="44"/>
      <c r="O1" s="44"/>
      <c r="P1" s="55" t="s">
        <v>2</v>
      </c>
      <c r="Q1" s="56"/>
      <c r="R1" s="56"/>
      <c r="S1" s="56"/>
      <c r="T1" s="56"/>
      <c r="U1" s="57" t="s">
        <v>3</v>
      </c>
      <c r="V1" s="58"/>
      <c r="W1" s="45" t="s">
        <v>4</v>
      </c>
      <c r="X1" s="46"/>
      <c r="Y1" s="46"/>
      <c r="Z1" s="46"/>
      <c r="AA1" s="46"/>
      <c r="AB1" s="46"/>
      <c r="AC1" s="46"/>
      <c r="AD1" s="46"/>
      <c r="AE1" s="46"/>
      <c r="AF1" s="51" t="s">
        <v>5</v>
      </c>
      <c r="AG1" s="52"/>
      <c r="AH1" s="52"/>
      <c r="AI1" s="52"/>
      <c r="AJ1" s="52"/>
      <c r="AK1" s="43" t="s">
        <v>6</v>
      </c>
      <c r="AL1" s="44"/>
      <c r="AM1" s="44"/>
      <c r="AN1" s="59" t="s">
        <v>7</v>
      </c>
      <c r="AO1" s="60"/>
      <c r="AP1" s="53" t="s">
        <v>8</v>
      </c>
      <c r="AQ1" s="54"/>
      <c r="AR1" s="54"/>
      <c r="AS1" s="54"/>
      <c r="AT1" s="54"/>
      <c r="AU1" s="54"/>
      <c r="AV1" s="54"/>
      <c r="AW1" s="54"/>
      <c r="AX1" s="54"/>
      <c r="AY1" s="63" t="s">
        <v>9</v>
      </c>
      <c r="AZ1" s="64"/>
      <c r="BA1" s="64"/>
      <c r="BB1" s="64"/>
      <c r="BC1" s="64"/>
      <c r="BD1" s="64"/>
      <c r="BE1" s="64"/>
      <c r="BF1" s="64"/>
      <c r="BG1" s="64"/>
      <c r="BH1" s="61" t="s">
        <v>10</v>
      </c>
      <c r="BI1" s="62"/>
      <c r="BJ1" s="62"/>
      <c r="BK1" s="62"/>
      <c r="BL1" s="62"/>
      <c r="BM1" s="62"/>
      <c r="BN1" s="62"/>
      <c r="BO1" s="62"/>
      <c r="BP1" s="62"/>
      <c r="BQ1" s="47" t="s">
        <v>11</v>
      </c>
      <c r="BR1" s="48"/>
      <c r="BS1" s="48"/>
    </row>
    <row r="2" spans="1:71" ht="37.950000000000003" customHeight="1" x14ac:dyDescent="0.3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6" t="s">
        <v>18</v>
      </c>
      <c r="H2" s="6" t="s">
        <v>19</v>
      </c>
      <c r="I2" s="6" t="s">
        <v>20</v>
      </c>
      <c r="J2" s="6" t="s">
        <v>21</v>
      </c>
      <c r="K2" s="6" t="s">
        <v>22</v>
      </c>
      <c r="L2" s="6" t="s">
        <v>23</v>
      </c>
      <c r="M2" s="6" t="s">
        <v>24</v>
      </c>
      <c r="N2" s="6" t="s">
        <v>25</v>
      </c>
      <c r="O2" s="6" t="s">
        <v>26</v>
      </c>
      <c r="P2" s="7" t="s">
        <v>27</v>
      </c>
      <c r="Q2" s="7" t="s">
        <v>28</v>
      </c>
      <c r="R2" s="7" t="s">
        <v>29</v>
      </c>
      <c r="S2" s="7" t="s">
        <v>30</v>
      </c>
      <c r="T2" s="7" t="s">
        <v>31</v>
      </c>
      <c r="U2" s="8" t="s">
        <v>32</v>
      </c>
      <c r="V2" s="8" t="s">
        <v>33</v>
      </c>
      <c r="W2" s="9" t="s">
        <v>34</v>
      </c>
      <c r="X2" s="9" t="s">
        <v>35</v>
      </c>
      <c r="Y2" s="9" t="s">
        <v>36</v>
      </c>
      <c r="Z2" s="9" t="s">
        <v>37</v>
      </c>
      <c r="AA2" s="9" t="s">
        <v>38</v>
      </c>
      <c r="AB2" s="9" t="s">
        <v>39</v>
      </c>
      <c r="AC2" s="9" t="s">
        <v>40</v>
      </c>
      <c r="AD2" s="9" t="s">
        <v>41</v>
      </c>
      <c r="AE2" s="9" t="s">
        <v>42</v>
      </c>
      <c r="AF2" s="10" t="s">
        <v>43</v>
      </c>
      <c r="AG2" s="10" t="s">
        <v>44</v>
      </c>
      <c r="AH2" s="10" t="s">
        <v>45</v>
      </c>
      <c r="AI2" s="10" t="s">
        <v>46</v>
      </c>
      <c r="AJ2" s="10" t="s">
        <v>47</v>
      </c>
      <c r="AK2" s="6" t="s">
        <v>48</v>
      </c>
      <c r="AL2" s="6" t="s">
        <v>49</v>
      </c>
      <c r="AM2" s="6" t="s">
        <v>50</v>
      </c>
      <c r="AN2" s="11" t="s">
        <v>51</v>
      </c>
      <c r="AO2" s="11" t="s">
        <v>52</v>
      </c>
      <c r="AP2" s="12" t="s">
        <v>53</v>
      </c>
      <c r="AQ2" s="12" t="s">
        <v>54</v>
      </c>
      <c r="AR2" s="12" t="s">
        <v>55</v>
      </c>
      <c r="AS2" s="12" t="s">
        <v>56</v>
      </c>
      <c r="AT2" s="12" t="s">
        <v>57</v>
      </c>
      <c r="AU2" s="12" t="s">
        <v>58</v>
      </c>
      <c r="AV2" s="12" t="s">
        <v>59</v>
      </c>
      <c r="AW2" s="12" t="s">
        <v>60</v>
      </c>
      <c r="AX2" s="12" t="s">
        <v>61</v>
      </c>
      <c r="AY2" s="13" t="s">
        <v>62</v>
      </c>
      <c r="AZ2" s="13" t="s">
        <v>63</v>
      </c>
      <c r="BA2" s="13" t="s">
        <v>64</v>
      </c>
      <c r="BB2" s="13" t="s">
        <v>65</v>
      </c>
      <c r="BC2" s="13" t="s">
        <v>66</v>
      </c>
      <c r="BD2" s="13" t="s">
        <v>67</v>
      </c>
      <c r="BE2" s="13" t="s">
        <v>68</v>
      </c>
      <c r="BF2" s="13" t="s">
        <v>69</v>
      </c>
      <c r="BG2" s="13" t="s">
        <v>70</v>
      </c>
      <c r="BH2" s="14" t="s">
        <v>62</v>
      </c>
      <c r="BI2" s="14" t="s">
        <v>63</v>
      </c>
      <c r="BJ2" s="14" t="s">
        <v>64</v>
      </c>
      <c r="BK2" s="14" t="s">
        <v>65</v>
      </c>
      <c r="BL2" s="14" t="s">
        <v>66</v>
      </c>
      <c r="BM2" s="14" t="s">
        <v>67</v>
      </c>
      <c r="BN2" s="14" t="s">
        <v>68</v>
      </c>
      <c r="BO2" s="14" t="s">
        <v>69</v>
      </c>
      <c r="BP2" s="14" t="s">
        <v>70</v>
      </c>
      <c r="BQ2" s="15" t="s">
        <v>71</v>
      </c>
      <c r="BR2" s="15" t="s">
        <v>72</v>
      </c>
      <c r="BS2" s="15" t="s">
        <v>73</v>
      </c>
    </row>
    <row r="3" spans="1:71" ht="16.05" customHeight="1" x14ac:dyDescent="0.3">
      <c r="A3" s="16" t="s">
        <v>696</v>
      </c>
      <c r="B3" s="16">
        <v>1</v>
      </c>
      <c r="C3" s="17" t="s">
        <v>697</v>
      </c>
      <c r="D3" s="17">
        <v>51</v>
      </c>
      <c r="E3" s="16" t="s">
        <v>194</v>
      </c>
      <c r="F3" s="16">
        <v>70</v>
      </c>
      <c r="G3" s="16" t="s">
        <v>94</v>
      </c>
      <c r="H3" s="16" t="s">
        <v>94</v>
      </c>
      <c r="I3" s="16" t="s">
        <v>94</v>
      </c>
      <c r="J3" s="16" t="s">
        <v>94</v>
      </c>
      <c r="K3" s="16" t="s">
        <v>94</v>
      </c>
      <c r="L3" s="16" t="s">
        <v>94</v>
      </c>
      <c r="M3" s="16" t="s">
        <v>94</v>
      </c>
      <c r="N3" s="16" t="s">
        <v>107</v>
      </c>
      <c r="O3" s="16" t="s">
        <v>94</v>
      </c>
      <c r="P3" s="16">
        <v>0.35</v>
      </c>
      <c r="Q3" s="16">
        <v>6.3</v>
      </c>
      <c r="R3" s="16">
        <v>0.2</v>
      </c>
      <c r="S3" s="16">
        <v>0.2</v>
      </c>
      <c r="T3" s="16">
        <v>2</v>
      </c>
      <c r="U3" s="17" t="str">
        <f t="shared" ref="U3:U34" si="0">IF($A3="","","X:\IMAGENES GEINPROD\"&amp;$A3&amp;".JPG")</f>
        <v>X:\IMAGENES GEINPROD\A0004750.JPG</v>
      </c>
      <c r="V3" s="17" t="str">
        <f t="shared" ref="V3:V34" si="1">IF($A3="","","X:\IMAGENES GEINPROD\PLANO ORIGINAL THERMIA\"&amp;$A3&amp;".pdf")</f>
        <v>X:\IMAGENES GEINPROD\PLANO ORIGINAL THERMIA\A0004750.pdf</v>
      </c>
      <c r="W3" s="17"/>
      <c r="X3" s="17"/>
      <c r="Y3" s="17"/>
      <c r="Z3" s="17"/>
      <c r="AA3" s="17"/>
      <c r="AB3" s="17"/>
      <c r="AC3" s="17"/>
      <c r="AD3" s="17"/>
      <c r="AE3" s="17"/>
      <c r="AF3" s="17" t="s">
        <v>698</v>
      </c>
      <c r="AG3" s="17" t="s">
        <v>699</v>
      </c>
      <c r="AH3" s="17">
        <v>500</v>
      </c>
      <c r="AI3" s="17">
        <v>25</v>
      </c>
      <c r="AJ3" s="17">
        <v>1</v>
      </c>
      <c r="AK3" s="16">
        <v>300</v>
      </c>
      <c r="AL3" s="16">
        <v>50</v>
      </c>
      <c r="AM3" s="16">
        <v>20</v>
      </c>
      <c r="AN3" s="16">
        <v>100</v>
      </c>
      <c r="AO3" s="16" t="s">
        <v>700</v>
      </c>
      <c r="AP3" s="16">
        <v>0.42</v>
      </c>
      <c r="AQ3" s="16">
        <v>0.42</v>
      </c>
      <c r="AR3" s="16">
        <v>0.44</v>
      </c>
      <c r="AS3" s="16">
        <v>0.43</v>
      </c>
      <c r="AT3" s="16">
        <v>0.44</v>
      </c>
      <c r="AU3" s="16">
        <v>0.43</v>
      </c>
      <c r="AV3" s="16">
        <v>0.44</v>
      </c>
      <c r="AW3" s="16"/>
      <c r="AX3" s="16">
        <v>0.42</v>
      </c>
      <c r="AY3" s="18">
        <f>IF($A3="","",ROUND(P3*CONFIGURACION!$B$2+IF(W3&lt;&gt;"",X3*IFERROR(VLOOKUP(W3,'DATOS COSTES POLIAMIDAS'!$A:$G,7,0),0),0)+IF(Y3&lt;&gt;"",Z3*IFERROR(VLOOKUP(Y3,'DATOS COSTES POLIAMIDAS'!$A:$G,7,0),0),0)+IF(AA3&lt;&gt;"",AB3*IFERROR(VLOOKUP(AA3,'DATOS COSTES POLIAMIDAS'!$A:$G,7,0),0),0)+IF(AC3&lt;&gt;"",AD3*IFERROR(VLOOKUP(AC3,'DATOS COSTES POLIAMIDAS'!$A:$G,7,0),0),0)+IF(AE3&lt;&gt;"",IFERROR(VLOOKUP(AE3,'DATOS COSTES MECANIZADOS'!$A:$F,6,0),0),0),4))</f>
        <v>1.7989999999999999</v>
      </c>
      <c r="AZ3" s="18">
        <f>IF($A3="","",ROUND(AY3+R3*CONFIGURACION!$B$6,4))</f>
        <v>2.4969999999999999</v>
      </c>
      <c r="BA3" s="18">
        <f>IF($A3="","",ROUND(AY3+R3*CONFIGURACION!$B$7,4))</f>
        <v>2.931</v>
      </c>
      <c r="BB3" s="18">
        <f>IF($A3="","",ROUND(AY3+R3*CONFIGURACION!$B$5,4))</f>
        <v>2.1282000000000001</v>
      </c>
      <c r="BC3" s="18">
        <f>IF($A3="","",ROUND(AY3+R3*CONFIGURACION!$B$10+R3*T3*CONFIGURACION!$B$11,4))</f>
        <v>3.1349999999999998</v>
      </c>
      <c r="BD3" s="18">
        <f>IF($A3="","",ROUND(AY3+R3*CONFIGURACION!$B$8,4))</f>
        <v>2.3403999999999998</v>
      </c>
      <c r="BE3" s="18">
        <f>IF($A3="","",ROUND(AY3+R3*CONFIGURACION!$B$9,4))</f>
        <v>2.681</v>
      </c>
      <c r="BF3" s="18">
        <f>IF($A3="","",ROUND(AY3+R3*CONFIGURACION!$B$13,4))</f>
        <v>1.7989999999999999</v>
      </c>
      <c r="BG3" s="18">
        <f>IF($A3="","",ROUND(AY3+R3*CONFIGURACION!$B$12,4))</f>
        <v>2.9990000000000001</v>
      </c>
      <c r="BH3" s="18">
        <f t="shared" ref="BH3:BH34" si="2">IF($A3="","",IF(AP3="","",ROUND(AY3/AP3,4)))</f>
        <v>4.2832999999999997</v>
      </c>
      <c r="BI3" s="18">
        <f t="shared" ref="BI3:BI34" si="3">IF($A3="","",IF(AQ3="","",ROUND(AZ3/AQ3,4)))</f>
        <v>5.9451999999999998</v>
      </c>
      <c r="BJ3" s="18">
        <f t="shared" ref="BJ3:BJ34" si="4">IF($A3="","",IF(AR3="","",ROUND(BA3/AR3,4)))</f>
        <v>6.6614000000000004</v>
      </c>
      <c r="BK3" s="18">
        <f t="shared" ref="BK3:BK34" si="5">IF($A3="","",IF(AS3="","",ROUND(BB3/AS3,4)))</f>
        <v>4.9493</v>
      </c>
      <c r="BL3" s="18">
        <f t="shared" ref="BL3:BL34" si="6">IF($A3="","",IF(AT3="","",ROUND(BC3/AT3,4)))</f>
        <v>7.125</v>
      </c>
      <c r="BM3" s="18">
        <f t="shared" ref="BM3:BM34" si="7">IF($A3="","",IF(AU3="","",ROUND(BD3/AU3,4)))</f>
        <v>5.4428000000000001</v>
      </c>
      <c r="BN3" s="18">
        <f t="shared" ref="BN3:BN34" si="8">IF($A3="","",IF(AV3="","",ROUND(BE3/AV3,4)))</f>
        <v>6.0932000000000004</v>
      </c>
      <c r="BO3" s="18" t="str">
        <f t="shared" ref="BO3:BO34" si="9">IF($A3="","",IF(AW3="","",ROUND(BF3/AW3,4)))</f>
        <v/>
      </c>
      <c r="BP3" s="18">
        <f t="shared" ref="BP3:BP34" si="10">IF($A3="","",IF(AX3="","",ROUND(BG3/AX3,4)))</f>
        <v>7.1405000000000003</v>
      </c>
      <c r="BQ3" s="16" t="s">
        <v>701</v>
      </c>
      <c r="BR3" s="68">
        <v>46218</v>
      </c>
      <c r="BS3" s="17" t="s">
        <v>702</v>
      </c>
    </row>
    <row r="4" spans="1:71" ht="16.05" customHeight="1" x14ac:dyDescent="0.3">
      <c r="A4" s="16"/>
      <c r="B4" s="16"/>
      <c r="C4" s="17"/>
      <c r="D4" s="17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7" t="str">
        <f t="shared" si="0"/>
        <v/>
      </c>
      <c r="V4" s="17" t="str">
        <f t="shared" si="1"/>
        <v/>
      </c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8" t="str">
        <f>IF($A4="","",ROUND(P4*CONFIGURACION!$B$2+IF(W4&lt;&gt;"",X4*IFERROR(VLOOKUP(W4,'DATOS COSTES POLIAMIDAS'!$A:$G,7,0),0),0)+IF(Y4&lt;&gt;"",Z4*IFERROR(VLOOKUP(Y4,'DATOS COSTES POLIAMIDAS'!$A:$G,7,0),0),0)+IF(AA4&lt;&gt;"",AB4*IFERROR(VLOOKUP(AA4,'DATOS COSTES POLIAMIDAS'!$A:$G,7,0),0),0)+IF(AC4&lt;&gt;"",AD4*IFERROR(VLOOKUP(AC4,'DATOS COSTES POLIAMIDAS'!$A:$G,7,0),0),0)+IF(AE4&lt;&gt;"",IFERROR(VLOOKUP(AE4,'DATOS COSTES MECANIZADOS'!$A:$F,6,0),0),0),4))</f>
        <v/>
      </c>
      <c r="AZ4" s="18" t="str">
        <f>IF($A4="","",ROUND(AY4+R4*CONFIGURACION!$B$6,4))</f>
        <v/>
      </c>
      <c r="BA4" s="18" t="str">
        <f>IF($A4="","",ROUND(AY4+R4*CONFIGURACION!$B$7,4))</f>
        <v/>
      </c>
      <c r="BB4" s="18" t="str">
        <f>IF($A4="","",ROUND(AY4+R4*CONFIGURACION!$B$5,4))</f>
        <v/>
      </c>
      <c r="BC4" s="18" t="str">
        <f>IF($A4="","",ROUND(AY4+R4*CONFIGURACION!$B$10+R4*T4*CONFIGURACION!$B$11,4))</f>
        <v/>
      </c>
      <c r="BD4" s="18" t="str">
        <f>IF($A4="","",ROUND(AY4+R4*CONFIGURACION!$B$8,4))</f>
        <v/>
      </c>
      <c r="BE4" s="18" t="str">
        <f>IF($A4="","",ROUND(AY4+R4*CONFIGURACION!$B$9,4))</f>
        <v/>
      </c>
      <c r="BF4" s="18" t="str">
        <f>IF($A4="","",ROUND(AY4+R4*CONFIGURACION!$B$13,4))</f>
        <v/>
      </c>
      <c r="BG4" s="18" t="str">
        <f>IF($A4="","",ROUND(AY4+R4*CONFIGURACION!$B$12,4))</f>
        <v/>
      </c>
      <c r="BH4" s="18" t="str">
        <f t="shared" si="2"/>
        <v/>
      </c>
      <c r="BI4" s="18" t="str">
        <f t="shared" si="3"/>
        <v/>
      </c>
      <c r="BJ4" s="18" t="str">
        <f t="shared" si="4"/>
        <v/>
      </c>
      <c r="BK4" s="18" t="str">
        <f t="shared" si="5"/>
        <v/>
      </c>
      <c r="BL4" s="18" t="str">
        <f t="shared" si="6"/>
        <v/>
      </c>
      <c r="BM4" s="18" t="str">
        <f t="shared" si="7"/>
        <v/>
      </c>
      <c r="BN4" s="18" t="str">
        <f t="shared" si="8"/>
        <v/>
      </c>
      <c r="BO4" s="18" t="str">
        <f t="shared" si="9"/>
        <v/>
      </c>
      <c r="BP4" s="18" t="str">
        <f t="shared" si="10"/>
        <v/>
      </c>
      <c r="BQ4" s="16"/>
      <c r="BR4" s="16"/>
      <c r="BS4" s="17"/>
    </row>
    <row r="5" spans="1:71" ht="16.05" customHeight="1" x14ac:dyDescent="0.3">
      <c r="A5" s="16"/>
      <c r="B5" s="16"/>
      <c r="C5" s="17"/>
      <c r="D5" s="17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7" t="str">
        <f t="shared" si="0"/>
        <v/>
      </c>
      <c r="V5" s="17" t="str">
        <f t="shared" si="1"/>
        <v/>
      </c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8" t="str">
        <f>IF($A5="","",ROUND(P5*CONFIGURACION!$B$2+IF(W5&lt;&gt;"",X5*IFERROR(VLOOKUP(W5,'DATOS COSTES POLIAMIDAS'!$A:$G,7,0),0),0)+IF(Y5&lt;&gt;"",Z5*IFERROR(VLOOKUP(Y5,'DATOS COSTES POLIAMIDAS'!$A:$G,7,0),0),0)+IF(AA5&lt;&gt;"",AB5*IFERROR(VLOOKUP(AA5,'DATOS COSTES POLIAMIDAS'!$A:$G,7,0),0),0)+IF(AC5&lt;&gt;"",AD5*IFERROR(VLOOKUP(AC5,'DATOS COSTES POLIAMIDAS'!$A:$G,7,0),0),0)+IF(AE5&lt;&gt;"",IFERROR(VLOOKUP(AE5,'DATOS COSTES MECANIZADOS'!$A:$F,6,0),0),0),4))</f>
        <v/>
      </c>
      <c r="AZ5" s="18" t="str">
        <f>IF($A5="","",ROUND(AY5+R5*CONFIGURACION!$B$6,4))</f>
        <v/>
      </c>
      <c r="BA5" s="18" t="str">
        <f>IF($A5="","",ROUND(AY5+R5*CONFIGURACION!$B$7,4))</f>
        <v/>
      </c>
      <c r="BB5" s="18" t="str">
        <f>IF($A5="","",ROUND(AY5+R5*CONFIGURACION!$B$5,4))</f>
        <v/>
      </c>
      <c r="BC5" s="18" t="str">
        <f>IF($A5="","",ROUND(AY5+R5*CONFIGURACION!$B$10+R5*T5*CONFIGURACION!$B$11,4))</f>
        <v/>
      </c>
      <c r="BD5" s="18" t="str">
        <f>IF($A5="","",ROUND(AY5+R5*CONFIGURACION!$B$8,4))</f>
        <v/>
      </c>
      <c r="BE5" s="18" t="str">
        <f>IF($A5="","",ROUND(AY5+R5*CONFIGURACION!$B$9,4))</f>
        <v/>
      </c>
      <c r="BF5" s="18" t="str">
        <f>IF($A5="","",ROUND(AY5+R5*CONFIGURACION!$B$13,4))</f>
        <v/>
      </c>
      <c r="BG5" s="18" t="str">
        <f>IF($A5="","",ROUND(AY5+R5*CONFIGURACION!$B$12,4))</f>
        <v/>
      </c>
      <c r="BH5" s="18" t="str">
        <f t="shared" si="2"/>
        <v/>
      </c>
      <c r="BI5" s="18" t="str">
        <f t="shared" si="3"/>
        <v/>
      </c>
      <c r="BJ5" s="18" t="str">
        <f t="shared" si="4"/>
        <v/>
      </c>
      <c r="BK5" s="18" t="str">
        <f t="shared" si="5"/>
        <v/>
      </c>
      <c r="BL5" s="18" t="str">
        <f t="shared" si="6"/>
        <v/>
      </c>
      <c r="BM5" s="18" t="str">
        <f t="shared" si="7"/>
        <v/>
      </c>
      <c r="BN5" s="18" t="str">
        <f t="shared" si="8"/>
        <v/>
      </c>
      <c r="BO5" s="18" t="str">
        <f t="shared" si="9"/>
        <v/>
      </c>
      <c r="BP5" s="18" t="str">
        <f t="shared" si="10"/>
        <v/>
      </c>
      <c r="BQ5" s="16"/>
      <c r="BR5" s="16"/>
      <c r="BS5" s="17"/>
    </row>
    <row r="6" spans="1:71" ht="16.05" customHeight="1" x14ac:dyDescent="0.3">
      <c r="A6" s="16"/>
      <c r="B6" s="16"/>
      <c r="C6" s="17"/>
      <c r="D6" s="17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7" t="str">
        <f t="shared" si="0"/>
        <v/>
      </c>
      <c r="V6" s="17" t="str">
        <f t="shared" si="1"/>
        <v/>
      </c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8" t="str">
        <f>IF($A6="","",ROUND(P6*CONFIGURACION!$B$2+IF(W6&lt;&gt;"",X6*IFERROR(VLOOKUP(W6,'DATOS COSTES POLIAMIDAS'!$A:$G,7,0),0),0)+IF(Y6&lt;&gt;"",Z6*IFERROR(VLOOKUP(Y6,'DATOS COSTES POLIAMIDAS'!$A:$G,7,0),0),0)+IF(AA6&lt;&gt;"",AB6*IFERROR(VLOOKUP(AA6,'DATOS COSTES POLIAMIDAS'!$A:$G,7,0),0),0)+IF(AC6&lt;&gt;"",AD6*IFERROR(VLOOKUP(AC6,'DATOS COSTES POLIAMIDAS'!$A:$G,7,0),0),0)+IF(AE6&lt;&gt;"",IFERROR(VLOOKUP(AE6,'DATOS COSTES MECANIZADOS'!$A:$F,6,0),0),0),4))</f>
        <v/>
      </c>
      <c r="AZ6" s="18" t="str">
        <f>IF($A6="","",ROUND(AY6+R6*CONFIGURACION!$B$6,4))</f>
        <v/>
      </c>
      <c r="BA6" s="18" t="str">
        <f>IF($A6="","",ROUND(AY6+R6*CONFIGURACION!$B$7,4))</f>
        <v/>
      </c>
      <c r="BB6" s="18" t="str">
        <f>IF($A6="","",ROUND(AY6+R6*CONFIGURACION!$B$5,4))</f>
        <v/>
      </c>
      <c r="BC6" s="18" t="str">
        <f>IF($A6="","",ROUND(AY6+R6*CONFIGURACION!$B$10+R6*T6*CONFIGURACION!$B$11,4))</f>
        <v/>
      </c>
      <c r="BD6" s="18" t="str">
        <f>IF($A6="","",ROUND(AY6+R6*CONFIGURACION!$B$8,4))</f>
        <v/>
      </c>
      <c r="BE6" s="18" t="str">
        <f>IF($A6="","",ROUND(AY6+R6*CONFIGURACION!$B$9,4))</f>
        <v/>
      </c>
      <c r="BF6" s="18" t="str">
        <f>IF($A6="","",ROUND(AY6+R6*CONFIGURACION!$B$13,4))</f>
        <v/>
      </c>
      <c r="BG6" s="18" t="str">
        <f>IF($A6="","",ROUND(AY6+R6*CONFIGURACION!$B$12,4))</f>
        <v/>
      </c>
      <c r="BH6" s="18" t="str">
        <f t="shared" si="2"/>
        <v/>
      </c>
      <c r="BI6" s="18" t="str">
        <f t="shared" si="3"/>
        <v/>
      </c>
      <c r="BJ6" s="18" t="str">
        <f t="shared" si="4"/>
        <v/>
      </c>
      <c r="BK6" s="18" t="str">
        <f t="shared" si="5"/>
        <v/>
      </c>
      <c r="BL6" s="18" t="str">
        <f t="shared" si="6"/>
        <v/>
      </c>
      <c r="BM6" s="18" t="str">
        <f t="shared" si="7"/>
        <v/>
      </c>
      <c r="BN6" s="18" t="str">
        <f t="shared" si="8"/>
        <v/>
      </c>
      <c r="BO6" s="18" t="str">
        <f t="shared" si="9"/>
        <v/>
      </c>
      <c r="BP6" s="18" t="str">
        <f t="shared" si="10"/>
        <v/>
      </c>
      <c r="BQ6" s="16"/>
      <c r="BR6" s="16"/>
      <c r="BS6" s="17"/>
    </row>
    <row r="7" spans="1:71" ht="16.05" customHeight="1" x14ac:dyDescent="0.3">
      <c r="A7" s="16"/>
      <c r="B7" s="16"/>
      <c r="C7" s="17"/>
      <c r="D7" s="17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7" t="str">
        <f t="shared" si="0"/>
        <v/>
      </c>
      <c r="V7" s="17" t="str">
        <f t="shared" si="1"/>
        <v/>
      </c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8" t="str">
        <f>IF($A7="","",ROUND(P7*CONFIGURACION!$B$2+IF(W7&lt;&gt;"",X7*IFERROR(VLOOKUP(W7,'DATOS COSTES POLIAMIDAS'!$A:$G,7,0),0),0)+IF(Y7&lt;&gt;"",Z7*IFERROR(VLOOKUP(Y7,'DATOS COSTES POLIAMIDAS'!$A:$G,7,0),0),0)+IF(AA7&lt;&gt;"",AB7*IFERROR(VLOOKUP(AA7,'DATOS COSTES POLIAMIDAS'!$A:$G,7,0),0),0)+IF(AC7&lt;&gt;"",AD7*IFERROR(VLOOKUP(AC7,'DATOS COSTES POLIAMIDAS'!$A:$G,7,0),0),0)+IF(AE7&lt;&gt;"",IFERROR(VLOOKUP(AE7,'DATOS COSTES MECANIZADOS'!$A:$F,6,0),0),0),4))</f>
        <v/>
      </c>
      <c r="AZ7" s="18" t="str">
        <f>IF($A7="","",ROUND(AY7+R7*CONFIGURACION!$B$6,4))</f>
        <v/>
      </c>
      <c r="BA7" s="18" t="str">
        <f>IF($A7="","",ROUND(AY7+R7*CONFIGURACION!$B$7,4))</f>
        <v/>
      </c>
      <c r="BB7" s="18" t="str">
        <f>IF($A7="","",ROUND(AY7+R7*CONFIGURACION!$B$5,4))</f>
        <v/>
      </c>
      <c r="BC7" s="18" t="str">
        <f>IF($A7="","",ROUND(AY7+R7*CONFIGURACION!$B$10+R7*T7*CONFIGURACION!$B$11,4))</f>
        <v/>
      </c>
      <c r="BD7" s="18" t="str">
        <f>IF($A7="","",ROUND(AY7+R7*CONFIGURACION!$B$8,4))</f>
        <v/>
      </c>
      <c r="BE7" s="18" t="str">
        <f>IF($A7="","",ROUND(AY7+R7*CONFIGURACION!$B$9,4))</f>
        <v/>
      </c>
      <c r="BF7" s="18" t="str">
        <f>IF($A7="","",ROUND(AY7+R7*CONFIGURACION!$B$13,4))</f>
        <v/>
      </c>
      <c r="BG7" s="18" t="str">
        <f>IF($A7="","",ROUND(AY7+R7*CONFIGURACION!$B$12,4))</f>
        <v/>
      </c>
      <c r="BH7" s="18" t="str">
        <f t="shared" si="2"/>
        <v/>
      </c>
      <c r="BI7" s="18" t="str">
        <f t="shared" si="3"/>
        <v/>
      </c>
      <c r="BJ7" s="18" t="str">
        <f t="shared" si="4"/>
        <v/>
      </c>
      <c r="BK7" s="18" t="str">
        <f t="shared" si="5"/>
        <v/>
      </c>
      <c r="BL7" s="18" t="str">
        <f t="shared" si="6"/>
        <v/>
      </c>
      <c r="BM7" s="18" t="str">
        <f t="shared" si="7"/>
        <v/>
      </c>
      <c r="BN7" s="18" t="str">
        <f t="shared" si="8"/>
        <v/>
      </c>
      <c r="BO7" s="18" t="str">
        <f t="shared" si="9"/>
        <v/>
      </c>
      <c r="BP7" s="18" t="str">
        <f t="shared" si="10"/>
        <v/>
      </c>
      <c r="BQ7" s="16"/>
      <c r="BR7" s="16"/>
      <c r="BS7" s="17"/>
    </row>
    <row r="8" spans="1:71" ht="16.05" customHeight="1" x14ac:dyDescent="0.3">
      <c r="A8" s="16"/>
      <c r="B8" s="16"/>
      <c r="C8" s="17"/>
      <c r="D8" s="17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7" t="str">
        <f t="shared" si="0"/>
        <v/>
      </c>
      <c r="V8" s="17" t="str">
        <f t="shared" si="1"/>
        <v/>
      </c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8" t="str">
        <f>IF($A8="","",ROUND(P8*CONFIGURACION!$B$2+IF(W8&lt;&gt;"",X8*IFERROR(VLOOKUP(W8,'DATOS COSTES POLIAMIDAS'!$A:$G,7,0),0),0)+IF(Y8&lt;&gt;"",Z8*IFERROR(VLOOKUP(Y8,'DATOS COSTES POLIAMIDAS'!$A:$G,7,0),0),0)+IF(AA8&lt;&gt;"",AB8*IFERROR(VLOOKUP(AA8,'DATOS COSTES POLIAMIDAS'!$A:$G,7,0),0),0)+IF(AC8&lt;&gt;"",AD8*IFERROR(VLOOKUP(AC8,'DATOS COSTES POLIAMIDAS'!$A:$G,7,0),0),0)+IF(AE8&lt;&gt;"",IFERROR(VLOOKUP(AE8,'DATOS COSTES MECANIZADOS'!$A:$F,6,0),0),0),4))</f>
        <v/>
      </c>
      <c r="AZ8" s="18" t="str">
        <f>IF($A8="","",ROUND(AY8+R8*CONFIGURACION!$B$6,4))</f>
        <v/>
      </c>
      <c r="BA8" s="18" t="str">
        <f>IF($A8="","",ROUND(AY8+R8*CONFIGURACION!$B$7,4))</f>
        <v/>
      </c>
      <c r="BB8" s="18" t="str">
        <f>IF($A8="","",ROUND(AY8+R8*CONFIGURACION!$B$5,4))</f>
        <v/>
      </c>
      <c r="BC8" s="18" t="str">
        <f>IF($A8="","",ROUND(AY8+R8*CONFIGURACION!$B$10+R8*T8*CONFIGURACION!$B$11,4))</f>
        <v/>
      </c>
      <c r="BD8" s="18" t="str">
        <f>IF($A8="","",ROUND(AY8+R8*CONFIGURACION!$B$8,4))</f>
        <v/>
      </c>
      <c r="BE8" s="18" t="str">
        <f>IF($A8="","",ROUND(AY8+R8*CONFIGURACION!$B$9,4))</f>
        <v/>
      </c>
      <c r="BF8" s="18" t="str">
        <f>IF($A8="","",ROUND(AY8+R8*CONFIGURACION!$B$13,4))</f>
        <v/>
      </c>
      <c r="BG8" s="18" t="str">
        <f>IF($A8="","",ROUND(AY8+R8*CONFIGURACION!$B$12,4))</f>
        <v/>
      </c>
      <c r="BH8" s="18" t="str">
        <f t="shared" si="2"/>
        <v/>
      </c>
      <c r="BI8" s="18" t="str">
        <f t="shared" si="3"/>
        <v/>
      </c>
      <c r="BJ8" s="18" t="str">
        <f t="shared" si="4"/>
        <v/>
      </c>
      <c r="BK8" s="18" t="str">
        <f t="shared" si="5"/>
        <v/>
      </c>
      <c r="BL8" s="18" t="str">
        <f t="shared" si="6"/>
        <v/>
      </c>
      <c r="BM8" s="18" t="str">
        <f t="shared" si="7"/>
        <v/>
      </c>
      <c r="BN8" s="18" t="str">
        <f t="shared" si="8"/>
        <v/>
      </c>
      <c r="BO8" s="18" t="str">
        <f t="shared" si="9"/>
        <v/>
      </c>
      <c r="BP8" s="18" t="str">
        <f t="shared" si="10"/>
        <v/>
      </c>
      <c r="BQ8" s="16"/>
      <c r="BR8" s="16"/>
      <c r="BS8" s="17"/>
    </row>
    <row r="9" spans="1:71" ht="16.05" customHeight="1" x14ac:dyDescent="0.3">
      <c r="A9" s="16"/>
      <c r="B9" s="16"/>
      <c r="C9" s="17"/>
      <c r="D9" s="17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7" t="str">
        <f t="shared" si="0"/>
        <v/>
      </c>
      <c r="V9" s="17" t="str">
        <f t="shared" si="1"/>
        <v/>
      </c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8" t="str">
        <f>IF($A9="","",ROUND(P9*CONFIGURACION!$B$2+IF(W9&lt;&gt;"",X9*IFERROR(VLOOKUP(W9,'DATOS COSTES POLIAMIDAS'!$A:$G,7,0),0),0)+IF(Y9&lt;&gt;"",Z9*IFERROR(VLOOKUP(Y9,'DATOS COSTES POLIAMIDAS'!$A:$G,7,0),0),0)+IF(AA9&lt;&gt;"",AB9*IFERROR(VLOOKUP(AA9,'DATOS COSTES POLIAMIDAS'!$A:$G,7,0),0),0)+IF(AC9&lt;&gt;"",AD9*IFERROR(VLOOKUP(AC9,'DATOS COSTES POLIAMIDAS'!$A:$G,7,0),0),0)+IF(AE9&lt;&gt;"",IFERROR(VLOOKUP(AE9,'DATOS COSTES MECANIZADOS'!$A:$F,6,0),0),0),4))</f>
        <v/>
      </c>
      <c r="AZ9" s="18" t="str">
        <f>IF($A9="","",ROUND(AY9+R9*CONFIGURACION!$B$6,4))</f>
        <v/>
      </c>
      <c r="BA9" s="18" t="str">
        <f>IF($A9="","",ROUND(AY9+R9*CONFIGURACION!$B$7,4))</f>
        <v/>
      </c>
      <c r="BB9" s="18" t="str">
        <f>IF($A9="","",ROUND(AY9+R9*CONFIGURACION!$B$5,4))</f>
        <v/>
      </c>
      <c r="BC9" s="18" t="str">
        <f>IF($A9="","",ROUND(AY9+R9*CONFIGURACION!$B$10+R9*T9*CONFIGURACION!$B$11,4))</f>
        <v/>
      </c>
      <c r="BD9" s="18" t="str">
        <f>IF($A9="","",ROUND(AY9+R9*CONFIGURACION!$B$8,4))</f>
        <v/>
      </c>
      <c r="BE9" s="18" t="str">
        <f>IF($A9="","",ROUND(AY9+R9*CONFIGURACION!$B$9,4))</f>
        <v/>
      </c>
      <c r="BF9" s="18" t="str">
        <f>IF($A9="","",ROUND(AY9+R9*CONFIGURACION!$B$13,4))</f>
        <v/>
      </c>
      <c r="BG9" s="18" t="str">
        <f>IF($A9="","",ROUND(AY9+R9*CONFIGURACION!$B$12,4))</f>
        <v/>
      </c>
      <c r="BH9" s="18" t="str">
        <f t="shared" si="2"/>
        <v/>
      </c>
      <c r="BI9" s="18" t="str">
        <f t="shared" si="3"/>
        <v/>
      </c>
      <c r="BJ9" s="18" t="str">
        <f t="shared" si="4"/>
        <v/>
      </c>
      <c r="BK9" s="18" t="str">
        <f t="shared" si="5"/>
        <v/>
      </c>
      <c r="BL9" s="18" t="str">
        <f t="shared" si="6"/>
        <v/>
      </c>
      <c r="BM9" s="18" t="str">
        <f t="shared" si="7"/>
        <v/>
      </c>
      <c r="BN9" s="18" t="str">
        <f t="shared" si="8"/>
        <v/>
      </c>
      <c r="BO9" s="18" t="str">
        <f t="shared" si="9"/>
        <v/>
      </c>
      <c r="BP9" s="18" t="str">
        <f t="shared" si="10"/>
        <v/>
      </c>
      <c r="BQ9" s="16"/>
      <c r="BR9" s="16"/>
      <c r="BS9" s="17"/>
    </row>
    <row r="10" spans="1:71" ht="16.05" customHeight="1" x14ac:dyDescent="0.3">
      <c r="A10" s="16"/>
      <c r="B10" s="16"/>
      <c r="C10" s="17"/>
      <c r="D10" s="17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7" t="str">
        <f t="shared" si="0"/>
        <v/>
      </c>
      <c r="V10" s="17" t="str">
        <f t="shared" si="1"/>
        <v/>
      </c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8" t="str">
        <f>IF($A10="","",ROUND(P10*CONFIGURACION!$B$2+IF(W10&lt;&gt;"",X10*IFERROR(VLOOKUP(W10,'DATOS COSTES POLIAMIDAS'!$A:$G,7,0),0),0)+IF(Y10&lt;&gt;"",Z10*IFERROR(VLOOKUP(Y10,'DATOS COSTES POLIAMIDAS'!$A:$G,7,0),0),0)+IF(AA10&lt;&gt;"",AB10*IFERROR(VLOOKUP(AA10,'DATOS COSTES POLIAMIDAS'!$A:$G,7,0),0),0)+IF(AC10&lt;&gt;"",AD10*IFERROR(VLOOKUP(AC10,'DATOS COSTES POLIAMIDAS'!$A:$G,7,0),0),0)+IF(AE10&lt;&gt;"",IFERROR(VLOOKUP(AE10,'DATOS COSTES MECANIZADOS'!$A:$F,6,0),0),0),4))</f>
        <v/>
      </c>
      <c r="AZ10" s="18" t="str">
        <f>IF($A10="","",ROUND(AY10+R10*CONFIGURACION!$B$6,4))</f>
        <v/>
      </c>
      <c r="BA10" s="18" t="str">
        <f>IF($A10="","",ROUND(AY10+R10*CONFIGURACION!$B$7,4))</f>
        <v/>
      </c>
      <c r="BB10" s="18" t="str">
        <f>IF($A10="","",ROUND(AY10+R10*CONFIGURACION!$B$5,4))</f>
        <v/>
      </c>
      <c r="BC10" s="18" t="str">
        <f>IF($A10="","",ROUND(AY10+R10*CONFIGURACION!$B$10+R10*T10*CONFIGURACION!$B$11,4))</f>
        <v/>
      </c>
      <c r="BD10" s="18" t="str">
        <f>IF($A10="","",ROUND(AY10+R10*CONFIGURACION!$B$8,4))</f>
        <v/>
      </c>
      <c r="BE10" s="18" t="str">
        <f>IF($A10="","",ROUND(AY10+R10*CONFIGURACION!$B$9,4))</f>
        <v/>
      </c>
      <c r="BF10" s="18" t="str">
        <f>IF($A10="","",ROUND(AY10+R10*CONFIGURACION!$B$13,4))</f>
        <v/>
      </c>
      <c r="BG10" s="18" t="str">
        <f>IF($A10="","",ROUND(AY10+R10*CONFIGURACION!$B$12,4))</f>
        <v/>
      </c>
      <c r="BH10" s="18" t="str">
        <f t="shared" si="2"/>
        <v/>
      </c>
      <c r="BI10" s="18" t="str">
        <f t="shared" si="3"/>
        <v/>
      </c>
      <c r="BJ10" s="18" t="str">
        <f t="shared" si="4"/>
        <v/>
      </c>
      <c r="BK10" s="18" t="str">
        <f t="shared" si="5"/>
        <v/>
      </c>
      <c r="BL10" s="18" t="str">
        <f t="shared" si="6"/>
        <v/>
      </c>
      <c r="BM10" s="18" t="str">
        <f t="shared" si="7"/>
        <v/>
      </c>
      <c r="BN10" s="18" t="str">
        <f t="shared" si="8"/>
        <v/>
      </c>
      <c r="BO10" s="18" t="str">
        <f t="shared" si="9"/>
        <v/>
      </c>
      <c r="BP10" s="18" t="str">
        <f t="shared" si="10"/>
        <v/>
      </c>
      <c r="BQ10" s="16"/>
      <c r="BR10" s="16"/>
      <c r="BS10" s="17"/>
    </row>
    <row r="11" spans="1:71" ht="16.05" customHeight="1" x14ac:dyDescent="0.3">
      <c r="A11" s="16"/>
      <c r="B11" s="16"/>
      <c r="C11" s="17"/>
      <c r="D11" s="17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7" t="str">
        <f t="shared" si="0"/>
        <v/>
      </c>
      <c r="V11" s="17" t="str">
        <f t="shared" si="1"/>
        <v/>
      </c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8" t="str">
        <f>IF($A11="","",ROUND(P11*CONFIGURACION!$B$2+IF(W11&lt;&gt;"",X11*IFERROR(VLOOKUP(W11,'DATOS COSTES POLIAMIDAS'!$A:$G,7,0),0),0)+IF(Y11&lt;&gt;"",Z11*IFERROR(VLOOKUP(Y11,'DATOS COSTES POLIAMIDAS'!$A:$G,7,0),0),0)+IF(AA11&lt;&gt;"",AB11*IFERROR(VLOOKUP(AA11,'DATOS COSTES POLIAMIDAS'!$A:$G,7,0),0),0)+IF(AC11&lt;&gt;"",AD11*IFERROR(VLOOKUP(AC11,'DATOS COSTES POLIAMIDAS'!$A:$G,7,0),0),0)+IF(AE11&lt;&gt;"",IFERROR(VLOOKUP(AE11,'DATOS COSTES MECANIZADOS'!$A:$F,6,0),0),0),4))</f>
        <v/>
      </c>
      <c r="AZ11" s="18" t="str">
        <f>IF($A11="","",ROUND(AY11+R11*CONFIGURACION!$B$6,4))</f>
        <v/>
      </c>
      <c r="BA11" s="18" t="str">
        <f>IF($A11="","",ROUND(AY11+R11*CONFIGURACION!$B$7,4))</f>
        <v/>
      </c>
      <c r="BB11" s="18" t="str">
        <f>IF($A11="","",ROUND(AY11+R11*CONFIGURACION!$B$5,4))</f>
        <v/>
      </c>
      <c r="BC11" s="18" t="str">
        <f>IF($A11="","",ROUND(AY11+R11*CONFIGURACION!$B$10+R11*T11*CONFIGURACION!$B$11,4))</f>
        <v/>
      </c>
      <c r="BD11" s="18" t="str">
        <f>IF($A11="","",ROUND(AY11+R11*CONFIGURACION!$B$8,4))</f>
        <v/>
      </c>
      <c r="BE11" s="18" t="str">
        <f>IF($A11="","",ROUND(AY11+R11*CONFIGURACION!$B$9,4))</f>
        <v/>
      </c>
      <c r="BF11" s="18" t="str">
        <f>IF($A11="","",ROUND(AY11+R11*CONFIGURACION!$B$13,4))</f>
        <v/>
      </c>
      <c r="BG11" s="18" t="str">
        <f>IF($A11="","",ROUND(AY11+R11*CONFIGURACION!$B$12,4))</f>
        <v/>
      </c>
      <c r="BH11" s="18" t="str">
        <f t="shared" si="2"/>
        <v/>
      </c>
      <c r="BI11" s="18" t="str">
        <f t="shared" si="3"/>
        <v/>
      </c>
      <c r="BJ11" s="18" t="str">
        <f t="shared" si="4"/>
        <v/>
      </c>
      <c r="BK11" s="18" t="str">
        <f t="shared" si="5"/>
        <v/>
      </c>
      <c r="BL11" s="18" t="str">
        <f t="shared" si="6"/>
        <v/>
      </c>
      <c r="BM11" s="18" t="str">
        <f t="shared" si="7"/>
        <v/>
      </c>
      <c r="BN11" s="18" t="str">
        <f t="shared" si="8"/>
        <v/>
      </c>
      <c r="BO11" s="18" t="str">
        <f t="shared" si="9"/>
        <v/>
      </c>
      <c r="BP11" s="18" t="str">
        <f t="shared" si="10"/>
        <v/>
      </c>
      <c r="BQ11" s="16"/>
      <c r="BR11" s="16"/>
      <c r="BS11" s="17"/>
    </row>
    <row r="12" spans="1:71" ht="16.05" customHeight="1" x14ac:dyDescent="0.3">
      <c r="A12" s="16"/>
      <c r="B12" s="16"/>
      <c r="C12" s="17"/>
      <c r="D12" s="17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7" t="str">
        <f t="shared" si="0"/>
        <v/>
      </c>
      <c r="V12" s="17" t="str">
        <f t="shared" si="1"/>
        <v/>
      </c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8" t="str">
        <f>IF($A12="","",ROUND(P12*CONFIGURACION!$B$2+IF(W12&lt;&gt;"",X12*IFERROR(VLOOKUP(W12,'DATOS COSTES POLIAMIDAS'!$A:$G,7,0),0),0)+IF(Y12&lt;&gt;"",Z12*IFERROR(VLOOKUP(Y12,'DATOS COSTES POLIAMIDAS'!$A:$G,7,0),0),0)+IF(AA12&lt;&gt;"",AB12*IFERROR(VLOOKUP(AA12,'DATOS COSTES POLIAMIDAS'!$A:$G,7,0),0),0)+IF(AC12&lt;&gt;"",AD12*IFERROR(VLOOKUP(AC12,'DATOS COSTES POLIAMIDAS'!$A:$G,7,0),0),0)+IF(AE12&lt;&gt;"",IFERROR(VLOOKUP(AE12,'DATOS COSTES MECANIZADOS'!$A:$F,6,0),0),0),4))</f>
        <v/>
      </c>
      <c r="AZ12" s="18" t="str">
        <f>IF($A12="","",ROUND(AY12+R12*CONFIGURACION!$B$6,4))</f>
        <v/>
      </c>
      <c r="BA12" s="18" t="str">
        <f>IF($A12="","",ROUND(AY12+R12*CONFIGURACION!$B$7,4))</f>
        <v/>
      </c>
      <c r="BB12" s="18" t="str">
        <f>IF($A12="","",ROUND(AY12+R12*CONFIGURACION!$B$5,4))</f>
        <v/>
      </c>
      <c r="BC12" s="18" t="str">
        <f>IF($A12="","",ROUND(AY12+R12*CONFIGURACION!$B$10+R12*T12*CONFIGURACION!$B$11,4))</f>
        <v/>
      </c>
      <c r="BD12" s="18" t="str">
        <f>IF($A12="","",ROUND(AY12+R12*CONFIGURACION!$B$8,4))</f>
        <v/>
      </c>
      <c r="BE12" s="18" t="str">
        <f>IF($A12="","",ROUND(AY12+R12*CONFIGURACION!$B$9,4))</f>
        <v/>
      </c>
      <c r="BF12" s="18" t="str">
        <f>IF($A12="","",ROUND(AY12+R12*CONFIGURACION!$B$13,4))</f>
        <v/>
      </c>
      <c r="BG12" s="18" t="str">
        <f>IF($A12="","",ROUND(AY12+R12*CONFIGURACION!$B$12,4))</f>
        <v/>
      </c>
      <c r="BH12" s="18" t="str">
        <f t="shared" si="2"/>
        <v/>
      </c>
      <c r="BI12" s="18" t="str">
        <f t="shared" si="3"/>
        <v/>
      </c>
      <c r="BJ12" s="18" t="str">
        <f t="shared" si="4"/>
        <v/>
      </c>
      <c r="BK12" s="18" t="str">
        <f t="shared" si="5"/>
        <v/>
      </c>
      <c r="BL12" s="18" t="str">
        <f t="shared" si="6"/>
        <v/>
      </c>
      <c r="BM12" s="18" t="str">
        <f t="shared" si="7"/>
        <v/>
      </c>
      <c r="BN12" s="18" t="str">
        <f t="shared" si="8"/>
        <v/>
      </c>
      <c r="BO12" s="18" t="str">
        <f t="shared" si="9"/>
        <v/>
      </c>
      <c r="BP12" s="18" t="str">
        <f t="shared" si="10"/>
        <v/>
      </c>
      <c r="BQ12" s="16"/>
      <c r="BR12" s="16"/>
      <c r="BS12" s="17"/>
    </row>
    <row r="13" spans="1:71" ht="16.05" customHeight="1" x14ac:dyDescent="0.3">
      <c r="A13" s="16"/>
      <c r="B13" s="16"/>
      <c r="C13" s="17"/>
      <c r="D13" s="17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7" t="str">
        <f t="shared" si="0"/>
        <v/>
      </c>
      <c r="V13" s="17" t="str">
        <f t="shared" si="1"/>
        <v/>
      </c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8" t="str">
        <f>IF($A13="","",ROUND(P13*CONFIGURACION!$B$2+IF(W13&lt;&gt;"",X13*IFERROR(VLOOKUP(W13,'DATOS COSTES POLIAMIDAS'!$A:$G,7,0),0),0)+IF(Y13&lt;&gt;"",Z13*IFERROR(VLOOKUP(Y13,'DATOS COSTES POLIAMIDAS'!$A:$G,7,0),0),0)+IF(AA13&lt;&gt;"",AB13*IFERROR(VLOOKUP(AA13,'DATOS COSTES POLIAMIDAS'!$A:$G,7,0),0),0)+IF(AC13&lt;&gt;"",AD13*IFERROR(VLOOKUP(AC13,'DATOS COSTES POLIAMIDAS'!$A:$G,7,0),0),0)+IF(AE13&lt;&gt;"",IFERROR(VLOOKUP(AE13,'DATOS COSTES MECANIZADOS'!$A:$F,6,0),0),0),4))</f>
        <v/>
      </c>
      <c r="AZ13" s="18" t="str">
        <f>IF($A13="","",ROUND(AY13+R13*CONFIGURACION!$B$6,4))</f>
        <v/>
      </c>
      <c r="BA13" s="18" t="str">
        <f>IF($A13="","",ROUND(AY13+R13*CONFIGURACION!$B$7,4))</f>
        <v/>
      </c>
      <c r="BB13" s="18" t="str">
        <f>IF($A13="","",ROUND(AY13+R13*CONFIGURACION!$B$5,4))</f>
        <v/>
      </c>
      <c r="BC13" s="18" t="str">
        <f>IF($A13="","",ROUND(AY13+R13*CONFIGURACION!$B$10+R13*T13*CONFIGURACION!$B$11,4))</f>
        <v/>
      </c>
      <c r="BD13" s="18" t="str">
        <f>IF($A13="","",ROUND(AY13+R13*CONFIGURACION!$B$8,4))</f>
        <v/>
      </c>
      <c r="BE13" s="18" t="str">
        <f>IF($A13="","",ROUND(AY13+R13*CONFIGURACION!$B$9,4))</f>
        <v/>
      </c>
      <c r="BF13" s="18" t="str">
        <f>IF($A13="","",ROUND(AY13+R13*CONFIGURACION!$B$13,4))</f>
        <v/>
      </c>
      <c r="BG13" s="18" t="str">
        <f>IF($A13="","",ROUND(AY13+R13*CONFIGURACION!$B$12,4))</f>
        <v/>
      </c>
      <c r="BH13" s="18" t="str">
        <f t="shared" si="2"/>
        <v/>
      </c>
      <c r="BI13" s="18" t="str">
        <f t="shared" si="3"/>
        <v/>
      </c>
      <c r="BJ13" s="18" t="str">
        <f t="shared" si="4"/>
        <v/>
      </c>
      <c r="BK13" s="18" t="str">
        <f t="shared" si="5"/>
        <v/>
      </c>
      <c r="BL13" s="18" t="str">
        <f t="shared" si="6"/>
        <v/>
      </c>
      <c r="BM13" s="18" t="str">
        <f t="shared" si="7"/>
        <v/>
      </c>
      <c r="BN13" s="18" t="str">
        <f t="shared" si="8"/>
        <v/>
      </c>
      <c r="BO13" s="18" t="str">
        <f t="shared" si="9"/>
        <v/>
      </c>
      <c r="BP13" s="18" t="str">
        <f t="shared" si="10"/>
        <v/>
      </c>
      <c r="BQ13" s="16"/>
      <c r="BR13" s="16"/>
      <c r="BS13" s="17"/>
    </row>
    <row r="14" spans="1:71" ht="16.05" customHeight="1" x14ac:dyDescent="0.3">
      <c r="A14" s="16"/>
      <c r="B14" s="16"/>
      <c r="C14" s="17"/>
      <c r="D14" s="17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7" t="str">
        <f t="shared" si="0"/>
        <v/>
      </c>
      <c r="V14" s="17" t="str">
        <f t="shared" si="1"/>
        <v/>
      </c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8" t="str">
        <f>IF($A14="","",ROUND(P14*CONFIGURACION!$B$2+IF(W14&lt;&gt;"",X14*IFERROR(VLOOKUP(W14,'DATOS COSTES POLIAMIDAS'!$A:$G,7,0),0),0)+IF(Y14&lt;&gt;"",Z14*IFERROR(VLOOKUP(Y14,'DATOS COSTES POLIAMIDAS'!$A:$G,7,0),0),0)+IF(AA14&lt;&gt;"",AB14*IFERROR(VLOOKUP(AA14,'DATOS COSTES POLIAMIDAS'!$A:$G,7,0),0),0)+IF(AC14&lt;&gt;"",AD14*IFERROR(VLOOKUP(AC14,'DATOS COSTES POLIAMIDAS'!$A:$G,7,0),0),0)+IF(AE14&lt;&gt;"",IFERROR(VLOOKUP(AE14,'DATOS COSTES MECANIZADOS'!$A:$F,6,0),0),0),4))</f>
        <v/>
      </c>
      <c r="AZ14" s="18" t="str">
        <f>IF($A14="","",ROUND(AY14+R14*CONFIGURACION!$B$6,4))</f>
        <v/>
      </c>
      <c r="BA14" s="18" t="str">
        <f>IF($A14="","",ROUND(AY14+R14*CONFIGURACION!$B$7,4))</f>
        <v/>
      </c>
      <c r="BB14" s="18" t="str">
        <f>IF($A14="","",ROUND(AY14+R14*CONFIGURACION!$B$5,4))</f>
        <v/>
      </c>
      <c r="BC14" s="18" t="str">
        <f>IF($A14="","",ROUND(AY14+R14*CONFIGURACION!$B$10+R14*T14*CONFIGURACION!$B$11,4))</f>
        <v/>
      </c>
      <c r="BD14" s="18" t="str">
        <f>IF($A14="","",ROUND(AY14+R14*CONFIGURACION!$B$8,4))</f>
        <v/>
      </c>
      <c r="BE14" s="18" t="str">
        <f>IF($A14="","",ROUND(AY14+R14*CONFIGURACION!$B$9,4))</f>
        <v/>
      </c>
      <c r="BF14" s="18" t="str">
        <f>IF($A14="","",ROUND(AY14+R14*CONFIGURACION!$B$13,4))</f>
        <v/>
      </c>
      <c r="BG14" s="18" t="str">
        <f>IF($A14="","",ROUND(AY14+R14*CONFIGURACION!$B$12,4))</f>
        <v/>
      </c>
      <c r="BH14" s="18" t="str">
        <f t="shared" si="2"/>
        <v/>
      </c>
      <c r="BI14" s="18" t="str">
        <f t="shared" si="3"/>
        <v/>
      </c>
      <c r="BJ14" s="18" t="str">
        <f t="shared" si="4"/>
        <v/>
      </c>
      <c r="BK14" s="18" t="str">
        <f t="shared" si="5"/>
        <v/>
      </c>
      <c r="BL14" s="18" t="str">
        <f t="shared" si="6"/>
        <v/>
      </c>
      <c r="BM14" s="18" t="str">
        <f t="shared" si="7"/>
        <v/>
      </c>
      <c r="BN14" s="18" t="str">
        <f t="shared" si="8"/>
        <v/>
      </c>
      <c r="BO14" s="18" t="str">
        <f t="shared" si="9"/>
        <v/>
      </c>
      <c r="BP14" s="18" t="str">
        <f t="shared" si="10"/>
        <v/>
      </c>
      <c r="BQ14" s="16"/>
      <c r="BR14" s="16"/>
      <c r="BS14" s="17"/>
    </row>
    <row r="15" spans="1:71" ht="16.05" customHeight="1" x14ac:dyDescent="0.3">
      <c r="A15" s="16"/>
      <c r="B15" s="16"/>
      <c r="C15" s="17"/>
      <c r="D15" s="17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7" t="str">
        <f t="shared" si="0"/>
        <v/>
      </c>
      <c r="V15" s="17" t="str">
        <f t="shared" si="1"/>
        <v/>
      </c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8" t="str">
        <f>IF($A15="","",ROUND(P15*CONFIGURACION!$B$2+IF(W15&lt;&gt;"",X15*IFERROR(VLOOKUP(W15,'DATOS COSTES POLIAMIDAS'!$A:$G,7,0),0),0)+IF(Y15&lt;&gt;"",Z15*IFERROR(VLOOKUP(Y15,'DATOS COSTES POLIAMIDAS'!$A:$G,7,0),0),0)+IF(AA15&lt;&gt;"",AB15*IFERROR(VLOOKUP(AA15,'DATOS COSTES POLIAMIDAS'!$A:$G,7,0),0),0)+IF(AC15&lt;&gt;"",AD15*IFERROR(VLOOKUP(AC15,'DATOS COSTES POLIAMIDAS'!$A:$G,7,0),0),0)+IF(AE15&lt;&gt;"",IFERROR(VLOOKUP(AE15,'DATOS COSTES MECANIZADOS'!$A:$F,6,0),0),0),4))</f>
        <v/>
      </c>
      <c r="AZ15" s="18" t="str">
        <f>IF($A15="","",ROUND(AY15+R15*CONFIGURACION!$B$6,4))</f>
        <v/>
      </c>
      <c r="BA15" s="18" t="str">
        <f>IF($A15="","",ROUND(AY15+R15*CONFIGURACION!$B$7,4))</f>
        <v/>
      </c>
      <c r="BB15" s="18" t="str">
        <f>IF($A15="","",ROUND(AY15+R15*CONFIGURACION!$B$5,4))</f>
        <v/>
      </c>
      <c r="BC15" s="18" t="str">
        <f>IF($A15="","",ROUND(AY15+R15*CONFIGURACION!$B$10+R15*T15*CONFIGURACION!$B$11,4))</f>
        <v/>
      </c>
      <c r="BD15" s="18" t="str">
        <f>IF($A15="","",ROUND(AY15+R15*CONFIGURACION!$B$8,4))</f>
        <v/>
      </c>
      <c r="BE15" s="18" t="str">
        <f>IF($A15="","",ROUND(AY15+R15*CONFIGURACION!$B$9,4))</f>
        <v/>
      </c>
      <c r="BF15" s="18" t="str">
        <f>IF($A15="","",ROUND(AY15+R15*CONFIGURACION!$B$13,4))</f>
        <v/>
      </c>
      <c r="BG15" s="18" t="str">
        <f>IF($A15="","",ROUND(AY15+R15*CONFIGURACION!$B$12,4))</f>
        <v/>
      </c>
      <c r="BH15" s="18" t="str">
        <f t="shared" si="2"/>
        <v/>
      </c>
      <c r="BI15" s="18" t="str">
        <f t="shared" si="3"/>
        <v/>
      </c>
      <c r="BJ15" s="18" t="str">
        <f t="shared" si="4"/>
        <v/>
      </c>
      <c r="BK15" s="18" t="str">
        <f t="shared" si="5"/>
        <v/>
      </c>
      <c r="BL15" s="18" t="str">
        <f t="shared" si="6"/>
        <v/>
      </c>
      <c r="BM15" s="18" t="str">
        <f t="shared" si="7"/>
        <v/>
      </c>
      <c r="BN15" s="18" t="str">
        <f t="shared" si="8"/>
        <v/>
      </c>
      <c r="BO15" s="18" t="str">
        <f t="shared" si="9"/>
        <v/>
      </c>
      <c r="BP15" s="18" t="str">
        <f t="shared" si="10"/>
        <v/>
      </c>
      <c r="BQ15" s="16"/>
      <c r="BR15" s="16"/>
      <c r="BS15" s="17"/>
    </row>
    <row r="16" spans="1:71" ht="16.05" customHeight="1" x14ac:dyDescent="0.3">
      <c r="A16" s="16"/>
      <c r="B16" s="16"/>
      <c r="C16" s="17"/>
      <c r="D16" s="17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7" t="str">
        <f t="shared" si="0"/>
        <v/>
      </c>
      <c r="V16" s="17" t="str">
        <f t="shared" si="1"/>
        <v/>
      </c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8" t="str">
        <f>IF($A16="","",ROUND(P16*CONFIGURACION!$B$2+IF(W16&lt;&gt;"",X16*IFERROR(VLOOKUP(W16,'DATOS COSTES POLIAMIDAS'!$A:$G,7,0),0),0)+IF(Y16&lt;&gt;"",Z16*IFERROR(VLOOKUP(Y16,'DATOS COSTES POLIAMIDAS'!$A:$G,7,0),0),0)+IF(AA16&lt;&gt;"",AB16*IFERROR(VLOOKUP(AA16,'DATOS COSTES POLIAMIDAS'!$A:$G,7,0),0),0)+IF(AC16&lt;&gt;"",AD16*IFERROR(VLOOKUP(AC16,'DATOS COSTES POLIAMIDAS'!$A:$G,7,0),0),0)+IF(AE16&lt;&gt;"",IFERROR(VLOOKUP(AE16,'DATOS COSTES MECANIZADOS'!$A:$F,6,0),0),0),4))</f>
        <v/>
      </c>
      <c r="AZ16" s="18" t="str">
        <f>IF($A16="","",ROUND(AY16+R16*CONFIGURACION!$B$6,4))</f>
        <v/>
      </c>
      <c r="BA16" s="18" t="str">
        <f>IF($A16="","",ROUND(AY16+R16*CONFIGURACION!$B$7,4))</f>
        <v/>
      </c>
      <c r="BB16" s="18" t="str">
        <f>IF($A16="","",ROUND(AY16+R16*CONFIGURACION!$B$5,4))</f>
        <v/>
      </c>
      <c r="BC16" s="18" t="str">
        <f>IF($A16="","",ROUND(AY16+R16*CONFIGURACION!$B$10+R16*T16*CONFIGURACION!$B$11,4))</f>
        <v/>
      </c>
      <c r="BD16" s="18" t="str">
        <f>IF($A16="","",ROUND(AY16+R16*CONFIGURACION!$B$8,4))</f>
        <v/>
      </c>
      <c r="BE16" s="18" t="str">
        <f>IF($A16="","",ROUND(AY16+R16*CONFIGURACION!$B$9,4))</f>
        <v/>
      </c>
      <c r="BF16" s="18" t="str">
        <f>IF($A16="","",ROUND(AY16+R16*CONFIGURACION!$B$13,4))</f>
        <v/>
      </c>
      <c r="BG16" s="18" t="str">
        <f>IF($A16="","",ROUND(AY16+R16*CONFIGURACION!$B$12,4))</f>
        <v/>
      </c>
      <c r="BH16" s="18" t="str">
        <f t="shared" si="2"/>
        <v/>
      </c>
      <c r="BI16" s="18" t="str">
        <f t="shared" si="3"/>
        <v/>
      </c>
      <c r="BJ16" s="18" t="str">
        <f t="shared" si="4"/>
        <v/>
      </c>
      <c r="BK16" s="18" t="str">
        <f t="shared" si="5"/>
        <v/>
      </c>
      <c r="BL16" s="18" t="str">
        <f t="shared" si="6"/>
        <v/>
      </c>
      <c r="BM16" s="18" t="str">
        <f t="shared" si="7"/>
        <v/>
      </c>
      <c r="BN16" s="18" t="str">
        <f t="shared" si="8"/>
        <v/>
      </c>
      <c r="BO16" s="18" t="str">
        <f t="shared" si="9"/>
        <v/>
      </c>
      <c r="BP16" s="18" t="str">
        <f t="shared" si="10"/>
        <v/>
      </c>
      <c r="BQ16" s="16"/>
      <c r="BR16" s="16"/>
      <c r="BS16" s="17"/>
    </row>
    <row r="17" spans="1:71" ht="16.05" customHeight="1" x14ac:dyDescent="0.3">
      <c r="A17" s="16"/>
      <c r="B17" s="16"/>
      <c r="C17" s="17"/>
      <c r="D17" s="17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7" t="str">
        <f t="shared" si="0"/>
        <v/>
      </c>
      <c r="V17" s="17" t="str">
        <f t="shared" si="1"/>
        <v/>
      </c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8" t="str">
        <f>IF($A17="","",ROUND(P17*CONFIGURACION!$B$2+IF(W17&lt;&gt;"",X17*IFERROR(VLOOKUP(W17,'DATOS COSTES POLIAMIDAS'!$A:$G,7,0),0),0)+IF(Y17&lt;&gt;"",Z17*IFERROR(VLOOKUP(Y17,'DATOS COSTES POLIAMIDAS'!$A:$G,7,0),0),0)+IF(AA17&lt;&gt;"",AB17*IFERROR(VLOOKUP(AA17,'DATOS COSTES POLIAMIDAS'!$A:$G,7,0),0),0)+IF(AC17&lt;&gt;"",AD17*IFERROR(VLOOKUP(AC17,'DATOS COSTES POLIAMIDAS'!$A:$G,7,0),0),0)+IF(AE17&lt;&gt;"",IFERROR(VLOOKUP(AE17,'DATOS COSTES MECANIZADOS'!$A:$F,6,0),0),0),4))</f>
        <v/>
      </c>
      <c r="AZ17" s="18" t="str">
        <f>IF($A17="","",ROUND(AY17+R17*CONFIGURACION!$B$6,4))</f>
        <v/>
      </c>
      <c r="BA17" s="18" t="str">
        <f>IF($A17="","",ROUND(AY17+R17*CONFIGURACION!$B$7,4))</f>
        <v/>
      </c>
      <c r="BB17" s="18" t="str">
        <f>IF($A17="","",ROUND(AY17+R17*CONFIGURACION!$B$5,4))</f>
        <v/>
      </c>
      <c r="BC17" s="18" t="str">
        <f>IF($A17="","",ROUND(AY17+R17*CONFIGURACION!$B$10+R17*T17*CONFIGURACION!$B$11,4))</f>
        <v/>
      </c>
      <c r="BD17" s="18" t="str">
        <f>IF($A17="","",ROUND(AY17+R17*CONFIGURACION!$B$8,4))</f>
        <v/>
      </c>
      <c r="BE17" s="18" t="str">
        <f>IF($A17="","",ROUND(AY17+R17*CONFIGURACION!$B$9,4))</f>
        <v/>
      </c>
      <c r="BF17" s="18" t="str">
        <f>IF($A17="","",ROUND(AY17+R17*CONFIGURACION!$B$13,4))</f>
        <v/>
      </c>
      <c r="BG17" s="18" t="str">
        <f>IF($A17="","",ROUND(AY17+R17*CONFIGURACION!$B$12,4))</f>
        <v/>
      </c>
      <c r="BH17" s="18" t="str">
        <f t="shared" si="2"/>
        <v/>
      </c>
      <c r="BI17" s="18" t="str">
        <f t="shared" si="3"/>
        <v/>
      </c>
      <c r="BJ17" s="18" t="str">
        <f t="shared" si="4"/>
        <v/>
      </c>
      <c r="BK17" s="18" t="str">
        <f t="shared" si="5"/>
        <v/>
      </c>
      <c r="BL17" s="18" t="str">
        <f t="shared" si="6"/>
        <v/>
      </c>
      <c r="BM17" s="18" t="str">
        <f t="shared" si="7"/>
        <v/>
      </c>
      <c r="BN17" s="18" t="str">
        <f t="shared" si="8"/>
        <v/>
      </c>
      <c r="BO17" s="18" t="str">
        <f t="shared" si="9"/>
        <v/>
      </c>
      <c r="BP17" s="18" t="str">
        <f t="shared" si="10"/>
        <v/>
      </c>
      <c r="BQ17" s="16"/>
      <c r="BR17" s="16"/>
      <c r="BS17" s="17"/>
    </row>
    <row r="18" spans="1:71" ht="16.05" customHeight="1" x14ac:dyDescent="0.3">
      <c r="A18" s="16"/>
      <c r="B18" s="16"/>
      <c r="C18" s="17"/>
      <c r="D18" s="17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7" t="str">
        <f t="shared" si="0"/>
        <v/>
      </c>
      <c r="V18" s="17" t="str">
        <f t="shared" si="1"/>
        <v/>
      </c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8" t="str">
        <f>IF($A18="","",ROUND(P18*CONFIGURACION!$B$2+IF(W18&lt;&gt;"",X18*IFERROR(VLOOKUP(W18,'DATOS COSTES POLIAMIDAS'!$A:$G,7,0),0),0)+IF(Y18&lt;&gt;"",Z18*IFERROR(VLOOKUP(Y18,'DATOS COSTES POLIAMIDAS'!$A:$G,7,0),0),0)+IF(AA18&lt;&gt;"",AB18*IFERROR(VLOOKUP(AA18,'DATOS COSTES POLIAMIDAS'!$A:$G,7,0),0),0)+IF(AC18&lt;&gt;"",AD18*IFERROR(VLOOKUP(AC18,'DATOS COSTES POLIAMIDAS'!$A:$G,7,0),0),0)+IF(AE18&lt;&gt;"",IFERROR(VLOOKUP(AE18,'DATOS COSTES MECANIZADOS'!$A:$F,6,0),0),0),4))</f>
        <v/>
      </c>
      <c r="AZ18" s="18" t="str">
        <f>IF($A18="","",ROUND(AY18+R18*CONFIGURACION!$B$6,4))</f>
        <v/>
      </c>
      <c r="BA18" s="18" t="str">
        <f>IF($A18="","",ROUND(AY18+R18*CONFIGURACION!$B$7,4))</f>
        <v/>
      </c>
      <c r="BB18" s="18" t="str">
        <f>IF($A18="","",ROUND(AY18+R18*CONFIGURACION!$B$5,4))</f>
        <v/>
      </c>
      <c r="BC18" s="18" t="str">
        <f>IF($A18="","",ROUND(AY18+R18*CONFIGURACION!$B$10+R18*T18*CONFIGURACION!$B$11,4))</f>
        <v/>
      </c>
      <c r="BD18" s="18" t="str">
        <f>IF($A18="","",ROUND(AY18+R18*CONFIGURACION!$B$8,4))</f>
        <v/>
      </c>
      <c r="BE18" s="18" t="str">
        <f>IF($A18="","",ROUND(AY18+R18*CONFIGURACION!$B$9,4))</f>
        <v/>
      </c>
      <c r="BF18" s="18" t="str">
        <f>IF($A18="","",ROUND(AY18+R18*CONFIGURACION!$B$13,4))</f>
        <v/>
      </c>
      <c r="BG18" s="18" t="str">
        <f>IF($A18="","",ROUND(AY18+R18*CONFIGURACION!$B$12,4))</f>
        <v/>
      </c>
      <c r="BH18" s="18" t="str">
        <f t="shared" si="2"/>
        <v/>
      </c>
      <c r="BI18" s="18" t="str">
        <f t="shared" si="3"/>
        <v/>
      </c>
      <c r="BJ18" s="18" t="str">
        <f t="shared" si="4"/>
        <v/>
      </c>
      <c r="BK18" s="18" t="str">
        <f t="shared" si="5"/>
        <v/>
      </c>
      <c r="BL18" s="18" t="str">
        <f t="shared" si="6"/>
        <v/>
      </c>
      <c r="BM18" s="18" t="str">
        <f t="shared" si="7"/>
        <v/>
      </c>
      <c r="BN18" s="18" t="str">
        <f t="shared" si="8"/>
        <v/>
      </c>
      <c r="BO18" s="18" t="str">
        <f t="shared" si="9"/>
        <v/>
      </c>
      <c r="BP18" s="18" t="str">
        <f t="shared" si="10"/>
        <v/>
      </c>
      <c r="BQ18" s="16"/>
      <c r="BR18" s="16"/>
      <c r="BS18" s="17"/>
    </row>
    <row r="19" spans="1:71" ht="16.05" customHeight="1" x14ac:dyDescent="0.3">
      <c r="A19" s="16"/>
      <c r="B19" s="16"/>
      <c r="C19" s="17"/>
      <c r="D19" s="17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7" t="str">
        <f t="shared" si="0"/>
        <v/>
      </c>
      <c r="V19" s="17" t="str">
        <f t="shared" si="1"/>
        <v/>
      </c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8" t="str">
        <f>IF($A19="","",ROUND(P19*CONFIGURACION!$B$2+IF(W19&lt;&gt;"",X19*IFERROR(VLOOKUP(W19,'DATOS COSTES POLIAMIDAS'!$A:$G,7,0),0),0)+IF(Y19&lt;&gt;"",Z19*IFERROR(VLOOKUP(Y19,'DATOS COSTES POLIAMIDAS'!$A:$G,7,0),0),0)+IF(AA19&lt;&gt;"",AB19*IFERROR(VLOOKUP(AA19,'DATOS COSTES POLIAMIDAS'!$A:$G,7,0),0),0)+IF(AC19&lt;&gt;"",AD19*IFERROR(VLOOKUP(AC19,'DATOS COSTES POLIAMIDAS'!$A:$G,7,0),0),0)+IF(AE19&lt;&gt;"",IFERROR(VLOOKUP(AE19,'DATOS COSTES MECANIZADOS'!$A:$F,6,0),0),0),4))</f>
        <v/>
      </c>
      <c r="AZ19" s="18" t="str">
        <f>IF($A19="","",ROUND(AY19+R19*CONFIGURACION!$B$6,4))</f>
        <v/>
      </c>
      <c r="BA19" s="18" t="str">
        <f>IF($A19="","",ROUND(AY19+R19*CONFIGURACION!$B$7,4))</f>
        <v/>
      </c>
      <c r="BB19" s="18" t="str">
        <f>IF($A19="","",ROUND(AY19+R19*CONFIGURACION!$B$5,4))</f>
        <v/>
      </c>
      <c r="BC19" s="18" t="str">
        <f>IF($A19="","",ROUND(AY19+R19*CONFIGURACION!$B$10+R19*T19*CONFIGURACION!$B$11,4))</f>
        <v/>
      </c>
      <c r="BD19" s="18" t="str">
        <f>IF($A19="","",ROUND(AY19+R19*CONFIGURACION!$B$8,4))</f>
        <v/>
      </c>
      <c r="BE19" s="18" t="str">
        <f>IF($A19="","",ROUND(AY19+R19*CONFIGURACION!$B$9,4))</f>
        <v/>
      </c>
      <c r="BF19" s="18" t="str">
        <f>IF($A19="","",ROUND(AY19+R19*CONFIGURACION!$B$13,4))</f>
        <v/>
      </c>
      <c r="BG19" s="18" t="str">
        <f>IF($A19="","",ROUND(AY19+R19*CONFIGURACION!$B$12,4))</f>
        <v/>
      </c>
      <c r="BH19" s="18" t="str">
        <f t="shared" si="2"/>
        <v/>
      </c>
      <c r="BI19" s="18" t="str">
        <f t="shared" si="3"/>
        <v/>
      </c>
      <c r="BJ19" s="18" t="str">
        <f t="shared" si="4"/>
        <v/>
      </c>
      <c r="BK19" s="18" t="str">
        <f t="shared" si="5"/>
        <v/>
      </c>
      <c r="BL19" s="18" t="str">
        <f t="shared" si="6"/>
        <v/>
      </c>
      <c r="BM19" s="18" t="str">
        <f t="shared" si="7"/>
        <v/>
      </c>
      <c r="BN19" s="18" t="str">
        <f t="shared" si="8"/>
        <v/>
      </c>
      <c r="BO19" s="18" t="str">
        <f t="shared" si="9"/>
        <v/>
      </c>
      <c r="BP19" s="18" t="str">
        <f t="shared" si="10"/>
        <v/>
      </c>
      <c r="BQ19" s="16"/>
      <c r="BR19" s="16"/>
      <c r="BS19" s="17"/>
    </row>
    <row r="20" spans="1:71" ht="16.05" customHeight="1" x14ac:dyDescent="0.3">
      <c r="A20" s="16"/>
      <c r="B20" s="16"/>
      <c r="C20" s="17"/>
      <c r="D20" s="17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7" t="str">
        <f t="shared" si="0"/>
        <v/>
      </c>
      <c r="V20" s="17" t="str">
        <f t="shared" si="1"/>
        <v/>
      </c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8" t="str">
        <f>IF($A20="","",ROUND(P20*CONFIGURACION!$B$2+IF(W20&lt;&gt;"",X20*IFERROR(VLOOKUP(W20,'DATOS COSTES POLIAMIDAS'!$A:$G,7,0),0),0)+IF(Y20&lt;&gt;"",Z20*IFERROR(VLOOKUP(Y20,'DATOS COSTES POLIAMIDAS'!$A:$G,7,0),0),0)+IF(AA20&lt;&gt;"",AB20*IFERROR(VLOOKUP(AA20,'DATOS COSTES POLIAMIDAS'!$A:$G,7,0),0),0)+IF(AC20&lt;&gt;"",AD20*IFERROR(VLOOKUP(AC20,'DATOS COSTES POLIAMIDAS'!$A:$G,7,0),0),0)+IF(AE20&lt;&gt;"",IFERROR(VLOOKUP(AE20,'DATOS COSTES MECANIZADOS'!$A:$F,6,0),0),0),4))</f>
        <v/>
      </c>
      <c r="AZ20" s="18" t="str">
        <f>IF($A20="","",ROUND(AY20+R20*CONFIGURACION!$B$6,4))</f>
        <v/>
      </c>
      <c r="BA20" s="18" t="str">
        <f>IF($A20="","",ROUND(AY20+R20*CONFIGURACION!$B$7,4))</f>
        <v/>
      </c>
      <c r="BB20" s="18" t="str">
        <f>IF($A20="","",ROUND(AY20+R20*CONFIGURACION!$B$5,4))</f>
        <v/>
      </c>
      <c r="BC20" s="18" t="str">
        <f>IF($A20="","",ROUND(AY20+R20*CONFIGURACION!$B$10+R20*T20*CONFIGURACION!$B$11,4))</f>
        <v/>
      </c>
      <c r="BD20" s="18" t="str">
        <f>IF($A20="","",ROUND(AY20+R20*CONFIGURACION!$B$8,4))</f>
        <v/>
      </c>
      <c r="BE20" s="18" t="str">
        <f>IF($A20="","",ROUND(AY20+R20*CONFIGURACION!$B$9,4))</f>
        <v/>
      </c>
      <c r="BF20" s="18" t="str">
        <f>IF($A20="","",ROUND(AY20+R20*CONFIGURACION!$B$13,4))</f>
        <v/>
      </c>
      <c r="BG20" s="18" t="str">
        <f>IF($A20="","",ROUND(AY20+R20*CONFIGURACION!$B$12,4))</f>
        <v/>
      </c>
      <c r="BH20" s="18" t="str">
        <f t="shared" si="2"/>
        <v/>
      </c>
      <c r="BI20" s="18" t="str">
        <f t="shared" si="3"/>
        <v/>
      </c>
      <c r="BJ20" s="18" t="str">
        <f t="shared" si="4"/>
        <v/>
      </c>
      <c r="BK20" s="18" t="str">
        <f t="shared" si="5"/>
        <v/>
      </c>
      <c r="BL20" s="18" t="str">
        <f t="shared" si="6"/>
        <v/>
      </c>
      <c r="BM20" s="18" t="str">
        <f t="shared" si="7"/>
        <v/>
      </c>
      <c r="BN20" s="18" t="str">
        <f t="shared" si="8"/>
        <v/>
      </c>
      <c r="BO20" s="18" t="str">
        <f t="shared" si="9"/>
        <v/>
      </c>
      <c r="BP20" s="18" t="str">
        <f t="shared" si="10"/>
        <v/>
      </c>
      <c r="BQ20" s="16"/>
      <c r="BR20" s="16"/>
      <c r="BS20" s="17"/>
    </row>
    <row r="21" spans="1:71" ht="16.05" customHeight="1" x14ac:dyDescent="0.3">
      <c r="A21" s="16"/>
      <c r="B21" s="16"/>
      <c r="C21" s="17"/>
      <c r="D21" s="17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7" t="str">
        <f t="shared" si="0"/>
        <v/>
      </c>
      <c r="V21" s="17" t="str">
        <f t="shared" si="1"/>
        <v/>
      </c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8" t="str">
        <f>IF($A21="","",ROUND(P21*CONFIGURACION!$B$2+IF(W21&lt;&gt;"",X21*IFERROR(VLOOKUP(W21,'DATOS COSTES POLIAMIDAS'!$A:$G,7,0),0),0)+IF(Y21&lt;&gt;"",Z21*IFERROR(VLOOKUP(Y21,'DATOS COSTES POLIAMIDAS'!$A:$G,7,0),0),0)+IF(AA21&lt;&gt;"",AB21*IFERROR(VLOOKUP(AA21,'DATOS COSTES POLIAMIDAS'!$A:$G,7,0),0),0)+IF(AC21&lt;&gt;"",AD21*IFERROR(VLOOKUP(AC21,'DATOS COSTES POLIAMIDAS'!$A:$G,7,0),0),0)+IF(AE21&lt;&gt;"",IFERROR(VLOOKUP(AE21,'DATOS COSTES MECANIZADOS'!$A:$F,6,0),0),0),4))</f>
        <v/>
      </c>
      <c r="AZ21" s="18" t="str">
        <f>IF($A21="","",ROUND(AY21+R21*CONFIGURACION!$B$6,4))</f>
        <v/>
      </c>
      <c r="BA21" s="18" t="str">
        <f>IF($A21="","",ROUND(AY21+R21*CONFIGURACION!$B$7,4))</f>
        <v/>
      </c>
      <c r="BB21" s="18" t="str">
        <f>IF($A21="","",ROUND(AY21+R21*CONFIGURACION!$B$5,4))</f>
        <v/>
      </c>
      <c r="BC21" s="18" t="str">
        <f>IF($A21="","",ROUND(AY21+R21*CONFIGURACION!$B$10+R21*T21*CONFIGURACION!$B$11,4))</f>
        <v/>
      </c>
      <c r="BD21" s="18" t="str">
        <f>IF($A21="","",ROUND(AY21+R21*CONFIGURACION!$B$8,4))</f>
        <v/>
      </c>
      <c r="BE21" s="18" t="str">
        <f>IF($A21="","",ROUND(AY21+R21*CONFIGURACION!$B$9,4))</f>
        <v/>
      </c>
      <c r="BF21" s="18" t="str">
        <f>IF($A21="","",ROUND(AY21+R21*CONFIGURACION!$B$13,4))</f>
        <v/>
      </c>
      <c r="BG21" s="18" t="str">
        <f>IF($A21="","",ROUND(AY21+R21*CONFIGURACION!$B$12,4))</f>
        <v/>
      </c>
      <c r="BH21" s="18" t="str">
        <f t="shared" si="2"/>
        <v/>
      </c>
      <c r="BI21" s="18" t="str">
        <f t="shared" si="3"/>
        <v/>
      </c>
      <c r="BJ21" s="18" t="str">
        <f t="shared" si="4"/>
        <v/>
      </c>
      <c r="BK21" s="18" t="str">
        <f t="shared" si="5"/>
        <v/>
      </c>
      <c r="BL21" s="18" t="str">
        <f t="shared" si="6"/>
        <v/>
      </c>
      <c r="BM21" s="18" t="str">
        <f t="shared" si="7"/>
        <v/>
      </c>
      <c r="BN21" s="18" t="str">
        <f t="shared" si="8"/>
        <v/>
      </c>
      <c r="BO21" s="18" t="str">
        <f t="shared" si="9"/>
        <v/>
      </c>
      <c r="BP21" s="18" t="str">
        <f t="shared" si="10"/>
        <v/>
      </c>
      <c r="BQ21" s="16"/>
      <c r="BR21" s="16"/>
      <c r="BS21" s="17"/>
    </row>
    <row r="22" spans="1:71" ht="16.05" customHeight="1" x14ac:dyDescent="0.3">
      <c r="A22" s="16"/>
      <c r="B22" s="16"/>
      <c r="C22" s="17"/>
      <c r="D22" s="17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7" t="str">
        <f t="shared" si="0"/>
        <v/>
      </c>
      <c r="V22" s="17" t="str">
        <f t="shared" si="1"/>
        <v/>
      </c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8" t="str">
        <f>IF($A22="","",ROUND(P22*CONFIGURACION!$B$2+IF(W22&lt;&gt;"",X22*IFERROR(VLOOKUP(W22,'DATOS COSTES POLIAMIDAS'!$A:$G,7,0),0),0)+IF(Y22&lt;&gt;"",Z22*IFERROR(VLOOKUP(Y22,'DATOS COSTES POLIAMIDAS'!$A:$G,7,0),0),0)+IF(AA22&lt;&gt;"",AB22*IFERROR(VLOOKUP(AA22,'DATOS COSTES POLIAMIDAS'!$A:$G,7,0),0),0)+IF(AC22&lt;&gt;"",AD22*IFERROR(VLOOKUP(AC22,'DATOS COSTES POLIAMIDAS'!$A:$G,7,0),0),0)+IF(AE22&lt;&gt;"",IFERROR(VLOOKUP(AE22,'DATOS COSTES MECANIZADOS'!$A:$F,6,0),0),0),4))</f>
        <v/>
      </c>
      <c r="AZ22" s="18" t="str">
        <f>IF($A22="","",ROUND(AY22+R22*CONFIGURACION!$B$6,4))</f>
        <v/>
      </c>
      <c r="BA22" s="18" t="str">
        <f>IF($A22="","",ROUND(AY22+R22*CONFIGURACION!$B$7,4))</f>
        <v/>
      </c>
      <c r="BB22" s="18" t="str">
        <f>IF($A22="","",ROUND(AY22+R22*CONFIGURACION!$B$5,4))</f>
        <v/>
      </c>
      <c r="BC22" s="18" t="str">
        <f>IF($A22="","",ROUND(AY22+R22*CONFIGURACION!$B$10+R22*T22*CONFIGURACION!$B$11,4))</f>
        <v/>
      </c>
      <c r="BD22" s="18" t="str">
        <f>IF($A22="","",ROUND(AY22+R22*CONFIGURACION!$B$8,4))</f>
        <v/>
      </c>
      <c r="BE22" s="18" t="str">
        <f>IF($A22="","",ROUND(AY22+R22*CONFIGURACION!$B$9,4))</f>
        <v/>
      </c>
      <c r="BF22" s="18" t="str">
        <f>IF($A22="","",ROUND(AY22+R22*CONFIGURACION!$B$13,4))</f>
        <v/>
      </c>
      <c r="BG22" s="18" t="str">
        <f>IF($A22="","",ROUND(AY22+R22*CONFIGURACION!$B$12,4))</f>
        <v/>
      </c>
      <c r="BH22" s="18" t="str">
        <f t="shared" si="2"/>
        <v/>
      </c>
      <c r="BI22" s="18" t="str">
        <f t="shared" si="3"/>
        <v/>
      </c>
      <c r="BJ22" s="18" t="str">
        <f t="shared" si="4"/>
        <v/>
      </c>
      <c r="BK22" s="18" t="str">
        <f t="shared" si="5"/>
        <v/>
      </c>
      <c r="BL22" s="18" t="str">
        <f t="shared" si="6"/>
        <v/>
      </c>
      <c r="BM22" s="18" t="str">
        <f t="shared" si="7"/>
        <v/>
      </c>
      <c r="BN22" s="18" t="str">
        <f t="shared" si="8"/>
        <v/>
      </c>
      <c r="BO22" s="18" t="str">
        <f t="shared" si="9"/>
        <v/>
      </c>
      <c r="BP22" s="18" t="str">
        <f t="shared" si="10"/>
        <v/>
      </c>
      <c r="BQ22" s="16"/>
      <c r="BR22" s="16"/>
      <c r="BS22" s="17"/>
    </row>
    <row r="23" spans="1:71" ht="16.05" customHeight="1" x14ac:dyDescent="0.3">
      <c r="A23" s="16"/>
      <c r="B23" s="16"/>
      <c r="C23" s="17"/>
      <c r="D23" s="17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7" t="str">
        <f t="shared" si="0"/>
        <v/>
      </c>
      <c r="V23" s="17" t="str">
        <f t="shared" si="1"/>
        <v/>
      </c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8" t="str">
        <f>IF($A23="","",ROUND(P23*CONFIGURACION!$B$2+IF(W23&lt;&gt;"",X23*IFERROR(VLOOKUP(W23,'DATOS COSTES POLIAMIDAS'!$A:$G,7,0),0),0)+IF(Y23&lt;&gt;"",Z23*IFERROR(VLOOKUP(Y23,'DATOS COSTES POLIAMIDAS'!$A:$G,7,0),0),0)+IF(AA23&lt;&gt;"",AB23*IFERROR(VLOOKUP(AA23,'DATOS COSTES POLIAMIDAS'!$A:$G,7,0),0),0)+IF(AC23&lt;&gt;"",AD23*IFERROR(VLOOKUP(AC23,'DATOS COSTES POLIAMIDAS'!$A:$G,7,0),0),0)+IF(AE23&lt;&gt;"",IFERROR(VLOOKUP(AE23,'DATOS COSTES MECANIZADOS'!$A:$F,6,0),0),0),4))</f>
        <v/>
      </c>
      <c r="AZ23" s="18" t="str">
        <f>IF($A23="","",ROUND(AY23+R23*CONFIGURACION!$B$6,4))</f>
        <v/>
      </c>
      <c r="BA23" s="18" t="str">
        <f>IF($A23="","",ROUND(AY23+R23*CONFIGURACION!$B$7,4))</f>
        <v/>
      </c>
      <c r="BB23" s="18" t="str">
        <f>IF($A23="","",ROUND(AY23+R23*CONFIGURACION!$B$5,4))</f>
        <v/>
      </c>
      <c r="BC23" s="18" t="str">
        <f>IF($A23="","",ROUND(AY23+R23*CONFIGURACION!$B$10+R23*T23*CONFIGURACION!$B$11,4))</f>
        <v/>
      </c>
      <c r="BD23" s="18" t="str">
        <f>IF($A23="","",ROUND(AY23+R23*CONFIGURACION!$B$8,4))</f>
        <v/>
      </c>
      <c r="BE23" s="18" t="str">
        <f>IF($A23="","",ROUND(AY23+R23*CONFIGURACION!$B$9,4))</f>
        <v/>
      </c>
      <c r="BF23" s="18" t="str">
        <f>IF($A23="","",ROUND(AY23+R23*CONFIGURACION!$B$13,4))</f>
        <v/>
      </c>
      <c r="BG23" s="18" t="str">
        <f>IF($A23="","",ROUND(AY23+R23*CONFIGURACION!$B$12,4))</f>
        <v/>
      </c>
      <c r="BH23" s="18" t="str">
        <f t="shared" si="2"/>
        <v/>
      </c>
      <c r="BI23" s="18" t="str">
        <f t="shared" si="3"/>
        <v/>
      </c>
      <c r="BJ23" s="18" t="str">
        <f t="shared" si="4"/>
        <v/>
      </c>
      <c r="BK23" s="18" t="str">
        <f t="shared" si="5"/>
        <v/>
      </c>
      <c r="BL23" s="18" t="str">
        <f t="shared" si="6"/>
        <v/>
      </c>
      <c r="BM23" s="18" t="str">
        <f t="shared" si="7"/>
        <v/>
      </c>
      <c r="BN23" s="18" t="str">
        <f t="shared" si="8"/>
        <v/>
      </c>
      <c r="BO23" s="18" t="str">
        <f t="shared" si="9"/>
        <v/>
      </c>
      <c r="BP23" s="18" t="str">
        <f t="shared" si="10"/>
        <v/>
      </c>
      <c r="BQ23" s="16"/>
      <c r="BR23" s="16"/>
      <c r="BS23" s="17"/>
    </row>
    <row r="24" spans="1:71" ht="16.05" customHeight="1" x14ac:dyDescent="0.3">
      <c r="A24" s="16"/>
      <c r="B24" s="16"/>
      <c r="C24" s="17"/>
      <c r="D24" s="17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7" t="str">
        <f t="shared" si="0"/>
        <v/>
      </c>
      <c r="V24" s="17" t="str">
        <f t="shared" si="1"/>
        <v/>
      </c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8" t="str">
        <f>IF($A24="","",ROUND(P24*CONFIGURACION!$B$2+IF(W24&lt;&gt;"",X24*IFERROR(VLOOKUP(W24,'DATOS COSTES POLIAMIDAS'!$A:$G,7,0),0),0)+IF(Y24&lt;&gt;"",Z24*IFERROR(VLOOKUP(Y24,'DATOS COSTES POLIAMIDAS'!$A:$G,7,0),0),0)+IF(AA24&lt;&gt;"",AB24*IFERROR(VLOOKUP(AA24,'DATOS COSTES POLIAMIDAS'!$A:$G,7,0),0),0)+IF(AC24&lt;&gt;"",AD24*IFERROR(VLOOKUP(AC24,'DATOS COSTES POLIAMIDAS'!$A:$G,7,0),0),0)+IF(AE24&lt;&gt;"",IFERROR(VLOOKUP(AE24,'DATOS COSTES MECANIZADOS'!$A:$F,6,0),0),0),4))</f>
        <v/>
      </c>
      <c r="AZ24" s="18" t="str">
        <f>IF($A24="","",ROUND(AY24+R24*CONFIGURACION!$B$6,4))</f>
        <v/>
      </c>
      <c r="BA24" s="18" t="str">
        <f>IF($A24="","",ROUND(AY24+R24*CONFIGURACION!$B$7,4))</f>
        <v/>
      </c>
      <c r="BB24" s="18" t="str">
        <f>IF($A24="","",ROUND(AY24+R24*CONFIGURACION!$B$5,4))</f>
        <v/>
      </c>
      <c r="BC24" s="18" t="str">
        <f>IF($A24="","",ROUND(AY24+R24*CONFIGURACION!$B$10+R24*T24*CONFIGURACION!$B$11,4))</f>
        <v/>
      </c>
      <c r="BD24" s="18" t="str">
        <f>IF($A24="","",ROUND(AY24+R24*CONFIGURACION!$B$8,4))</f>
        <v/>
      </c>
      <c r="BE24" s="18" t="str">
        <f>IF($A24="","",ROUND(AY24+R24*CONFIGURACION!$B$9,4))</f>
        <v/>
      </c>
      <c r="BF24" s="18" t="str">
        <f>IF($A24="","",ROUND(AY24+R24*CONFIGURACION!$B$13,4))</f>
        <v/>
      </c>
      <c r="BG24" s="18" t="str">
        <f>IF($A24="","",ROUND(AY24+R24*CONFIGURACION!$B$12,4))</f>
        <v/>
      </c>
      <c r="BH24" s="18" t="str">
        <f t="shared" si="2"/>
        <v/>
      </c>
      <c r="BI24" s="18" t="str">
        <f t="shared" si="3"/>
        <v/>
      </c>
      <c r="BJ24" s="18" t="str">
        <f t="shared" si="4"/>
        <v/>
      </c>
      <c r="BK24" s="18" t="str">
        <f t="shared" si="5"/>
        <v/>
      </c>
      <c r="BL24" s="18" t="str">
        <f t="shared" si="6"/>
        <v/>
      </c>
      <c r="BM24" s="18" t="str">
        <f t="shared" si="7"/>
        <v/>
      </c>
      <c r="BN24" s="18" t="str">
        <f t="shared" si="8"/>
        <v/>
      </c>
      <c r="BO24" s="18" t="str">
        <f t="shared" si="9"/>
        <v/>
      </c>
      <c r="BP24" s="18" t="str">
        <f t="shared" si="10"/>
        <v/>
      </c>
      <c r="BQ24" s="16"/>
      <c r="BR24" s="16"/>
      <c r="BS24" s="17"/>
    </row>
    <row r="25" spans="1:71" ht="16.05" customHeight="1" x14ac:dyDescent="0.3">
      <c r="A25" s="16"/>
      <c r="B25" s="16"/>
      <c r="C25" s="17"/>
      <c r="D25" s="17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7" t="str">
        <f t="shared" si="0"/>
        <v/>
      </c>
      <c r="V25" s="17" t="str">
        <f t="shared" si="1"/>
        <v/>
      </c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8" t="str">
        <f>IF($A25="","",ROUND(P25*CONFIGURACION!$B$2+IF(W25&lt;&gt;"",X25*IFERROR(VLOOKUP(W25,'DATOS COSTES POLIAMIDAS'!$A:$G,7,0),0),0)+IF(Y25&lt;&gt;"",Z25*IFERROR(VLOOKUP(Y25,'DATOS COSTES POLIAMIDAS'!$A:$G,7,0),0),0)+IF(AA25&lt;&gt;"",AB25*IFERROR(VLOOKUP(AA25,'DATOS COSTES POLIAMIDAS'!$A:$G,7,0),0),0)+IF(AC25&lt;&gt;"",AD25*IFERROR(VLOOKUP(AC25,'DATOS COSTES POLIAMIDAS'!$A:$G,7,0),0),0)+IF(AE25&lt;&gt;"",IFERROR(VLOOKUP(AE25,'DATOS COSTES MECANIZADOS'!$A:$F,6,0),0),0),4))</f>
        <v/>
      </c>
      <c r="AZ25" s="18" t="str">
        <f>IF($A25="","",ROUND(AY25+R25*CONFIGURACION!$B$6,4))</f>
        <v/>
      </c>
      <c r="BA25" s="18" t="str">
        <f>IF($A25="","",ROUND(AY25+R25*CONFIGURACION!$B$7,4))</f>
        <v/>
      </c>
      <c r="BB25" s="18" t="str">
        <f>IF($A25="","",ROUND(AY25+R25*CONFIGURACION!$B$5,4))</f>
        <v/>
      </c>
      <c r="BC25" s="18" t="str">
        <f>IF($A25="","",ROUND(AY25+R25*CONFIGURACION!$B$10+R25*T25*CONFIGURACION!$B$11,4))</f>
        <v/>
      </c>
      <c r="BD25" s="18" t="str">
        <f>IF($A25="","",ROUND(AY25+R25*CONFIGURACION!$B$8,4))</f>
        <v/>
      </c>
      <c r="BE25" s="18" t="str">
        <f>IF($A25="","",ROUND(AY25+R25*CONFIGURACION!$B$9,4))</f>
        <v/>
      </c>
      <c r="BF25" s="18" t="str">
        <f>IF($A25="","",ROUND(AY25+R25*CONFIGURACION!$B$13,4))</f>
        <v/>
      </c>
      <c r="BG25" s="18" t="str">
        <f>IF($A25="","",ROUND(AY25+R25*CONFIGURACION!$B$12,4))</f>
        <v/>
      </c>
      <c r="BH25" s="18" t="str">
        <f t="shared" si="2"/>
        <v/>
      </c>
      <c r="BI25" s="18" t="str">
        <f t="shared" si="3"/>
        <v/>
      </c>
      <c r="BJ25" s="18" t="str">
        <f t="shared" si="4"/>
        <v/>
      </c>
      <c r="BK25" s="18" t="str">
        <f t="shared" si="5"/>
        <v/>
      </c>
      <c r="BL25" s="18" t="str">
        <f t="shared" si="6"/>
        <v/>
      </c>
      <c r="BM25" s="18" t="str">
        <f t="shared" si="7"/>
        <v/>
      </c>
      <c r="BN25" s="18" t="str">
        <f t="shared" si="8"/>
        <v/>
      </c>
      <c r="BO25" s="18" t="str">
        <f t="shared" si="9"/>
        <v/>
      </c>
      <c r="BP25" s="18" t="str">
        <f t="shared" si="10"/>
        <v/>
      </c>
      <c r="BQ25" s="16"/>
      <c r="BR25" s="16"/>
      <c r="BS25" s="17"/>
    </row>
    <row r="26" spans="1:71" ht="16.05" customHeight="1" x14ac:dyDescent="0.3">
      <c r="A26" s="16"/>
      <c r="B26" s="16"/>
      <c r="C26" s="17"/>
      <c r="D26" s="17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7" t="str">
        <f t="shared" si="0"/>
        <v/>
      </c>
      <c r="V26" s="17" t="str">
        <f t="shared" si="1"/>
        <v/>
      </c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8" t="str">
        <f>IF($A26="","",ROUND(P26*CONFIGURACION!$B$2+IF(W26&lt;&gt;"",X26*IFERROR(VLOOKUP(W26,'DATOS COSTES POLIAMIDAS'!$A:$G,7,0),0),0)+IF(Y26&lt;&gt;"",Z26*IFERROR(VLOOKUP(Y26,'DATOS COSTES POLIAMIDAS'!$A:$G,7,0),0),0)+IF(AA26&lt;&gt;"",AB26*IFERROR(VLOOKUP(AA26,'DATOS COSTES POLIAMIDAS'!$A:$G,7,0),0),0)+IF(AC26&lt;&gt;"",AD26*IFERROR(VLOOKUP(AC26,'DATOS COSTES POLIAMIDAS'!$A:$G,7,0),0),0)+IF(AE26&lt;&gt;"",IFERROR(VLOOKUP(AE26,'DATOS COSTES MECANIZADOS'!$A:$F,6,0),0),0),4))</f>
        <v/>
      </c>
      <c r="AZ26" s="18" t="str">
        <f>IF($A26="","",ROUND(AY26+R26*CONFIGURACION!$B$6,4))</f>
        <v/>
      </c>
      <c r="BA26" s="18" t="str">
        <f>IF($A26="","",ROUND(AY26+R26*CONFIGURACION!$B$7,4))</f>
        <v/>
      </c>
      <c r="BB26" s="18" t="str">
        <f>IF($A26="","",ROUND(AY26+R26*CONFIGURACION!$B$5,4))</f>
        <v/>
      </c>
      <c r="BC26" s="18" t="str">
        <f>IF($A26="","",ROUND(AY26+R26*CONFIGURACION!$B$10+R26*T26*CONFIGURACION!$B$11,4))</f>
        <v/>
      </c>
      <c r="BD26" s="18" t="str">
        <f>IF($A26="","",ROUND(AY26+R26*CONFIGURACION!$B$8,4))</f>
        <v/>
      </c>
      <c r="BE26" s="18" t="str">
        <f>IF($A26="","",ROUND(AY26+R26*CONFIGURACION!$B$9,4))</f>
        <v/>
      </c>
      <c r="BF26" s="18" t="str">
        <f>IF($A26="","",ROUND(AY26+R26*CONFIGURACION!$B$13,4))</f>
        <v/>
      </c>
      <c r="BG26" s="18" t="str">
        <f>IF($A26="","",ROUND(AY26+R26*CONFIGURACION!$B$12,4))</f>
        <v/>
      </c>
      <c r="BH26" s="18" t="str">
        <f t="shared" si="2"/>
        <v/>
      </c>
      <c r="BI26" s="18" t="str">
        <f t="shared" si="3"/>
        <v/>
      </c>
      <c r="BJ26" s="18" t="str">
        <f t="shared" si="4"/>
        <v/>
      </c>
      <c r="BK26" s="18" t="str">
        <f t="shared" si="5"/>
        <v/>
      </c>
      <c r="BL26" s="18" t="str">
        <f t="shared" si="6"/>
        <v/>
      </c>
      <c r="BM26" s="18" t="str">
        <f t="shared" si="7"/>
        <v/>
      </c>
      <c r="BN26" s="18" t="str">
        <f t="shared" si="8"/>
        <v/>
      </c>
      <c r="BO26" s="18" t="str">
        <f t="shared" si="9"/>
        <v/>
      </c>
      <c r="BP26" s="18" t="str">
        <f t="shared" si="10"/>
        <v/>
      </c>
      <c r="BQ26" s="16"/>
      <c r="BR26" s="16"/>
      <c r="BS26" s="17"/>
    </row>
    <row r="27" spans="1:71" ht="16.05" customHeight="1" x14ac:dyDescent="0.3">
      <c r="A27" s="16"/>
      <c r="B27" s="16"/>
      <c r="C27" s="17"/>
      <c r="D27" s="17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7" t="str">
        <f t="shared" si="0"/>
        <v/>
      </c>
      <c r="V27" s="17" t="str">
        <f t="shared" si="1"/>
        <v/>
      </c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8" t="str">
        <f>IF($A27="","",ROUND(P27*CONFIGURACION!$B$2+IF(W27&lt;&gt;"",X27*IFERROR(VLOOKUP(W27,'DATOS COSTES POLIAMIDAS'!$A:$G,7,0),0),0)+IF(Y27&lt;&gt;"",Z27*IFERROR(VLOOKUP(Y27,'DATOS COSTES POLIAMIDAS'!$A:$G,7,0),0),0)+IF(AA27&lt;&gt;"",AB27*IFERROR(VLOOKUP(AA27,'DATOS COSTES POLIAMIDAS'!$A:$G,7,0),0),0)+IF(AC27&lt;&gt;"",AD27*IFERROR(VLOOKUP(AC27,'DATOS COSTES POLIAMIDAS'!$A:$G,7,0),0),0)+IF(AE27&lt;&gt;"",IFERROR(VLOOKUP(AE27,'DATOS COSTES MECANIZADOS'!$A:$F,6,0),0),0),4))</f>
        <v/>
      </c>
      <c r="AZ27" s="18" t="str">
        <f>IF($A27="","",ROUND(AY27+R27*CONFIGURACION!$B$6,4))</f>
        <v/>
      </c>
      <c r="BA27" s="18" t="str">
        <f>IF($A27="","",ROUND(AY27+R27*CONFIGURACION!$B$7,4))</f>
        <v/>
      </c>
      <c r="BB27" s="18" t="str">
        <f>IF($A27="","",ROUND(AY27+R27*CONFIGURACION!$B$5,4))</f>
        <v/>
      </c>
      <c r="BC27" s="18" t="str">
        <f>IF($A27="","",ROUND(AY27+R27*CONFIGURACION!$B$10+R27*T27*CONFIGURACION!$B$11,4))</f>
        <v/>
      </c>
      <c r="BD27" s="18" t="str">
        <f>IF($A27="","",ROUND(AY27+R27*CONFIGURACION!$B$8,4))</f>
        <v/>
      </c>
      <c r="BE27" s="18" t="str">
        <f>IF($A27="","",ROUND(AY27+R27*CONFIGURACION!$B$9,4))</f>
        <v/>
      </c>
      <c r="BF27" s="18" t="str">
        <f>IF($A27="","",ROUND(AY27+R27*CONFIGURACION!$B$13,4))</f>
        <v/>
      </c>
      <c r="BG27" s="18" t="str">
        <f>IF($A27="","",ROUND(AY27+R27*CONFIGURACION!$B$12,4))</f>
        <v/>
      </c>
      <c r="BH27" s="18" t="str">
        <f t="shared" si="2"/>
        <v/>
      </c>
      <c r="BI27" s="18" t="str">
        <f t="shared" si="3"/>
        <v/>
      </c>
      <c r="BJ27" s="18" t="str">
        <f t="shared" si="4"/>
        <v/>
      </c>
      <c r="BK27" s="18" t="str">
        <f t="shared" si="5"/>
        <v/>
      </c>
      <c r="BL27" s="18" t="str">
        <f t="shared" si="6"/>
        <v/>
      </c>
      <c r="BM27" s="18" t="str">
        <f t="shared" si="7"/>
        <v/>
      </c>
      <c r="BN27" s="18" t="str">
        <f t="shared" si="8"/>
        <v/>
      </c>
      <c r="BO27" s="18" t="str">
        <f t="shared" si="9"/>
        <v/>
      </c>
      <c r="BP27" s="18" t="str">
        <f t="shared" si="10"/>
        <v/>
      </c>
      <c r="BQ27" s="16"/>
      <c r="BR27" s="16"/>
      <c r="BS27" s="17"/>
    </row>
    <row r="28" spans="1:71" ht="16.05" customHeight="1" x14ac:dyDescent="0.3">
      <c r="A28" s="16"/>
      <c r="B28" s="16"/>
      <c r="C28" s="17"/>
      <c r="D28" s="17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7" t="str">
        <f t="shared" si="0"/>
        <v/>
      </c>
      <c r="V28" s="17" t="str">
        <f t="shared" si="1"/>
        <v/>
      </c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8" t="str">
        <f>IF($A28="","",ROUND(P28*CONFIGURACION!$B$2+IF(W28&lt;&gt;"",X28*IFERROR(VLOOKUP(W28,'DATOS COSTES POLIAMIDAS'!$A:$G,7,0),0),0)+IF(Y28&lt;&gt;"",Z28*IFERROR(VLOOKUP(Y28,'DATOS COSTES POLIAMIDAS'!$A:$G,7,0),0),0)+IF(AA28&lt;&gt;"",AB28*IFERROR(VLOOKUP(AA28,'DATOS COSTES POLIAMIDAS'!$A:$G,7,0),0),0)+IF(AC28&lt;&gt;"",AD28*IFERROR(VLOOKUP(AC28,'DATOS COSTES POLIAMIDAS'!$A:$G,7,0),0),0)+IF(AE28&lt;&gt;"",IFERROR(VLOOKUP(AE28,'DATOS COSTES MECANIZADOS'!$A:$F,6,0),0),0),4))</f>
        <v/>
      </c>
      <c r="AZ28" s="18" t="str">
        <f>IF($A28="","",ROUND(AY28+R28*CONFIGURACION!$B$6,4))</f>
        <v/>
      </c>
      <c r="BA28" s="18" t="str">
        <f>IF($A28="","",ROUND(AY28+R28*CONFIGURACION!$B$7,4))</f>
        <v/>
      </c>
      <c r="BB28" s="18" t="str">
        <f>IF($A28="","",ROUND(AY28+R28*CONFIGURACION!$B$5,4))</f>
        <v/>
      </c>
      <c r="BC28" s="18" t="str">
        <f>IF($A28="","",ROUND(AY28+R28*CONFIGURACION!$B$10+R28*T28*CONFIGURACION!$B$11,4))</f>
        <v/>
      </c>
      <c r="BD28" s="18" t="str">
        <f>IF($A28="","",ROUND(AY28+R28*CONFIGURACION!$B$8,4))</f>
        <v/>
      </c>
      <c r="BE28" s="18" t="str">
        <f>IF($A28="","",ROUND(AY28+R28*CONFIGURACION!$B$9,4))</f>
        <v/>
      </c>
      <c r="BF28" s="18" t="str">
        <f>IF($A28="","",ROUND(AY28+R28*CONFIGURACION!$B$13,4))</f>
        <v/>
      </c>
      <c r="BG28" s="18" t="str">
        <f>IF($A28="","",ROUND(AY28+R28*CONFIGURACION!$B$12,4))</f>
        <v/>
      </c>
      <c r="BH28" s="18" t="str">
        <f t="shared" si="2"/>
        <v/>
      </c>
      <c r="BI28" s="18" t="str">
        <f t="shared" si="3"/>
        <v/>
      </c>
      <c r="BJ28" s="18" t="str">
        <f t="shared" si="4"/>
        <v/>
      </c>
      <c r="BK28" s="18" t="str">
        <f t="shared" si="5"/>
        <v/>
      </c>
      <c r="BL28" s="18" t="str">
        <f t="shared" si="6"/>
        <v/>
      </c>
      <c r="BM28" s="18" t="str">
        <f t="shared" si="7"/>
        <v/>
      </c>
      <c r="BN28" s="18" t="str">
        <f t="shared" si="8"/>
        <v/>
      </c>
      <c r="BO28" s="18" t="str">
        <f t="shared" si="9"/>
        <v/>
      </c>
      <c r="BP28" s="18" t="str">
        <f t="shared" si="10"/>
        <v/>
      </c>
      <c r="BQ28" s="16"/>
      <c r="BR28" s="16"/>
      <c r="BS28" s="17"/>
    </row>
    <row r="29" spans="1:71" ht="16.05" customHeight="1" x14ac:dyDescent="0.3">
      <c r="A29" s="16"/>
      <c r="B29" s="16"/>
      <c r="C29" s="17"/>
      <c r="D29" s="17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7" t="str">
        <f t="shared" si="0"/>
        <v/>
      </c>
      <c r="V29" s="17" t="str">
        <f t="shared" si="1"/>
        <v/>
      </c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8" t="str">
        <f>IF($A29="","",ROUND(P29*CONFIGURACION!$B$2+IF(W29&lt;&gt;"",X29*IFERROR(VLOOKUP(W29,'DATOS COSTES POLIAMIDAS'!$A:$G,7,0),0),0)+IF(Y29&lt;&gt;"",Z29*IFERROR(VLOOKUP(Y29,'DATOS COSTES POLIAMIDAS'!$A:$G,7,0),0),0)+IF(AA29&lt;&gt;"",AB29*IFERROR(VLOOKUP(AA29,'DATOS COSTES POLIAMIDAS'!$A:$G,7,0),0),0)+IF(AC29&lt;&gt;"",AD29*IFERROR(VLOOKUP(AC29,'DATOS COSTES POLIAMIDAS'!$A:$G,7,0),0),0)+IF(AE29&lt;&gt;"",IFERROR(VLOOKUP(AE29,'DATOS COSTES MECANIZADOS'!$A:$F,6,0),0),0),4))</f>
        <v/>
      </c>
      <c r="AZ29" s="18" t="str">
        <f>IF($A29="","",ROUND(AY29+R29*CONFIGURACION!$B$6,4))</f>
        <v/>
      </c>
      <c r="BA29" s="18" t="str">
        <f>IF($A29="","",ROUND(AY29+R29*CONFIGURACION!$B$7,4))</f>
        <v/>
      </c>
      <c r="BB29" s="18" t="str">
        <f>IF($A29="","",ROUND(AY29+R29*CONFIGURACION!$B$5,4))</f>
        <v/>
      </c>
      <c r="BC29" s="18" t="str">
        <f>IF($A29="","",ROUND(AY29+R29*CONFIGURACION!$B$10+R29*T29*CONFIGURACION!$B$11,4))</f>
        <v/>
      </c>
      <c r="BD29" s="18" t="str">
        <f>IF($A29="","",ROUND(AY29+R29*CONFIGURACION!$B$8,4))</f>
        <v/>
      </c>
      <c r="BE29" s="18" t="str">
        <f>IF($A29="","",ROUND(AY29+R29*CONFIGURACION!$B$9,4))</f>
        <v/>
      </c>
      <c r="BF29" s="18" t="str">
        <f>IF($A29="","",ROUND(AY29+R29*CONFIGURACION!$B$13,4))</f>
        <v/>
      </c>
      <c r="BG29" s="18" t="str">
        <f>IF($A29="","",ROUND(AY29+R29*CONFIGURACION!$B$12,4))</f>
        <v/>
      </c>
      <c r="BH29" s="18" t="str">
        <f t="shared" si="2"/>
        <v/>
      </c>
      <c r="BI29" s="18" t="str">
        <f t="shared" si="3"/>
        <v/>
      </c>
      <c r="BJ29" s="18" t="str">
        <f t="shared" si="4"/>
        <v/>
      </c>
      <c r="BK29" s="18" t="str">
        <f t="shared" si="5"/>
        <v/>
      </c>
      <c r="BL29" s="18" t="str">
        <f t="shared" si="6"/>
        <v/>
      </c>
      <c r="BM29" s="18" t="str">
        <f t="shared" si="7"/>
        <v/>
      </c>
      <c r="BN29" s="18" t="str">
        <f t="shared" si="8"/>
        <v/>
      </c>
      <c r="BO29" s="18" t="str">
        <f t="shared" si="9"/>
        <v/>
      </c>
      <c r="BP29" s="18" t="str">
        <f t="shared" si="10"/>
        <v/>
      </c>
      <c r="BQ29" s="16"/>
      <c r="BR29" s="16"/>
      <c r="BS29" s="17"/>
    </row>
    <row r="30" spans="1:71" ht="16.05" customHeight="1" x14ac:dyDescent="0.3">
      <c r="A30" s="16"/>
      <c r="B30" s="16"/>
      <c r="C30" s="17"/>
      <c r="D30" s="17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7" t="str">
        <f t="shared" si="0"/>
        <v/>
      </c>
      <c r="V30" s="17" t="str">
        <f t="shared" si="1"/>
        <v/>
      </c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8" t="str">
        <f>IF($A30="","",ROUND(P30*CONFIGURACION!$B$2+IF(W30&lt;&gt;"",X30*IFERROR(VLOOKUP(W30,'DATOS COSTES POLIAMIDAS'!$A:$G,7,0),0),0)+IF(Y30&lt;&gt;"",Z30*IFERROR(VLOOKUP(Y30,'DATOS COSTES POLIAMIDAS'!$A:$G,7,0),0),0)+IF(AA30&lt;&gt;"",AB30*IFERROR(VLOOKUP(AA30,'DATOS COSTES POLIAMIDAS'!$A:$G,7,0),0),0)+IF(AC30&lt;&gt;"",AD30*IFERROR(VLOOKUP(AC30,'DATOS COSTES POLIAMIDAS'!$A:$G,7,0),0),0)+IF(AE30&lt;&gt;"",IFERROR(VLOOKUP(AE30,'DATOS COSTES MECANIZADOS'!$A:$F,6,0),0),0),4))</f>
        <v/>
      </c>
      <c r="AZ30" s="18" t="str">
        <f>IF($A30="","",ROUND(AY30+R30*CONFIGURACION!$B$6,4))</f>
        <v/>
      </c>
      <c r="BA30" s="18" t="str">
        <f>IF($A30="","",ROUND(AY30+R30*CONFIGURACION!$B$7,4))</f>
        <v/>
      </c>
      <c r="BB30" s="18" t="str">
        <f>IF($A30="","",ROUND(AY30+R30*CONFIGURACION!$B$5,4))</f>
        <v/>
      </c>
      <c r="BC30" s="18" t="str">
        <f>IF($A30="","",ROUND(AY30+R30*CONFIGURACION!$B$10+R30*T30*CONFIGURACION!$B$11,4))</f>
        <v/>
      </c>
      <c r="BD30" s="18" t="str">
        <f>IF($A30="","",ROUND(AY30+R30*CONFIGURACION!$B$8,4))</f>
        <v/>
      </c>
      <c r="BE30" s="18" t="str">
        <f>IF($A30="","",ROUND(AY30+R30*CONFIGURACION!$B$9,4))</f>
        <v/>
      </c>
      <c r="BF30" s="18" t="str">
        <f>IF($A30="","",ROUND(AY30+R30*CONFIGURACION!$B$13,4))</f>
        <v/>
      </c>
      <c r="BG30" s="18" t="str">
        <f>IF($A30="","",ROUND(AY30+R30*CONFIGURACION!$B$12,4))</f>
        <v/>
      </c>
      <c r="BH30" s="18" t="str">
        <f t="shared" si="2"/>
        <v/>
      </c>
      <c r="BI30" s="18" t="str">
        <f t="shared" si="3"/>
        <v/>
      </c>
      <c r="BJ30" s="18" t="str">
        <f t="shared" si="4"/>
        <v/>
      </c>
      <c r="BK30" s="18" t="str">
        <f t="shared" si="5"/>
        <v/>
      </c>
      <c r="BL30" s="18" t="str">
        <f t="shared" si="6"/>
        <v/>
      </c>
      <c r="BM30" s="18" t="str">
        <f t="shared" si="7"/>
        <v/>
      </c>
      <c r="BN30" s="18" t="str">
        <f t="shared" si="8"/>
        <v/>
      </c>
      <c r="BO30" s="18" t="str">
        <f t="shared" si="9"/>
        <v/>
      </c>
      <c r="BP30" s="18" t="str">
        <f t="shared" si="10"/>
        <v/>
      </c>
      <c r="BQ30" s="16"/>
      <c r="BR30" s="16"/>
      <c r="BS30" s="17"/>
    </row>
    <row r="31" spans="1:71" ht="16.05" customHeight="1" x14ac:dyDescent="0.3">
      <c r="A31" s="16"/>
      <c r="B31" s="16"/>
      <c r="C31" s="17"/>
      <c r="D31" s="17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7" t="str">
        <f t="shared" si="0"/>
        <v/>
      </c>
      <c r="V31" s="17" t="str">
        <f t="shared" si="1"/>
        <v/>
      </c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8" t="str">
        <f>IF($A31="","",ROUND(P31*CONFIGURACION!$B$2+IF(W31&lt;&gt;"",X31*IFERROR(VLOOKUP(W31,'DATOS COSTES POLIAMIDAS'!$A:$G,7,0),0),0)+IF(Y31&lt;&gt;"",Z31*IFERROR(VLOOKUP(Y31,'DATOS COSTES POLIAMIDAS'!$A:$G,7,0),0),0)+IF(AA31&lt;&gt;"",AB31*IFERROR(VLOOKUP(AA31,'DATOS COSTES POLIAMIDAS'!$A:$G,7,0),0),0)+IF(AC31&lt;&gt;"",AD31*IFERROR(VLOOKUP(AC31,'DATOS COSTES POLIAMIDAS'!$A:$G,7,0),0),0)+IF(AE31&lt;&gt;"",IFERROR(VLOOKUP(AE31,'DATOS COSTES MECANIZADOS'!$A:$F,6,0),0),0),4))</f>
        <v/>
      </c>
      <c r="AZ31" s="18" t="str">
        <f>IF($A31="","",ROUND(AY31+R31*CONFIGURACION!$B$6,4))</f>
        <v/>
      </c>
      <c r="BA31" s="18" t="str">
        <f>IF($A31="","",ROUND(AY31+R31*CONFIGURACION!$B$7,4))</f>
        <v/>
      </c>
      <c r="BB31" s="18" t="str">
        <f>IF($A31="","",ROUND(AY31+R31*CONFIGURACION!$B$5,4))</f>
        <v/>
      </c>
      <c r="BC31" s="18" t="str">
        <f>IF($A31="","",ROUND(AY31+R31*CONFIGURACION!$B$10+R31*T31*CONFIGURACION!$B$11,4))</f>
        <v/>
      </c>
      <c r="BD31" s="18" t="str">
        <f>IF($A31="","",ROUND(AY31+R31*CONFIGURACION!$B$8,4))</f>
        <v/>
      </c>
      <c r="BE31" s="18" t="str">
        <f>IF($A31="","",ROUND(AY31+R31*CONFIGURACION!$B$9,4))</f>
        <v/>
      </c>
      <c r="BF31" s="18" t="str">
        <f>IF($A31="","",ROUND(AY31+R31*CONFIGURACION!$B$13,4))</f>
        <v/>
      </c>
      <c r="BG31" s="18" t="str">
        <f>IF($A31="","",ROUND(AY31+R31*CONFIGURACION!$B$12,4))</f>
        <v/>
      </c>
      <c r="BH31" s="18" t="str">
        <f t="shared" si="2"/>
        <v/>
      </c>
      <c r="BI31" s="18" t="str">
        <f t="shared" si="3"/>
        <v/>
      </c>
      <c r="BJ31" s="18" t="str">
        <f t="shared" si="4"/>
        <v/>
      </c>
      <c r="BK31" s="18" t="str">
        <f t="shared" si="5"/>
        <v/>
      </c>
      <c r="BL31" s="18" t="str">
        <f t="shared" si="6"/>
        <v/>
      </c>
      <c r="BM31" s="18" t="str">
        <f t="shared" si="7"/>
        <v/>
      </c>
      <c r="BN31" s="18" t="str">
        <f t="shared" si="8"/>
        <v/>
      </c>
      <c r="BO31" s="18" t="str">
        <f t="shared" si="9"/>
        <v/>
      </c>
      <c r="BP31" s="18" t="str">
        <f t="shared" si="10"/>
        <v/>
      </c>
      <c r="BQ31" s="16"/>
      <c r="BR31" s="16"/>
      <c r="BS31" s="17"/>
    </row>
    <row r="32" spans="1:71" ht="16.05" customHeight="1" x14ac:dyDescent="0.3">
      <c r="A32" s="16"/>
      <c r="B32" s="16"/>
      <c r="C32" s="17"/>
      <c r="D32" s="17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7" t="str">
        <f t="shared" si="0"/>
        <v/>
      </c>
      <c r="V32" s="17" t="str">
        <f t="shared" si="1"/>
        <v/>
      </c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8" t="str">
        <f>IF($A32="","",ROUND(P32*CONFIGURACION!$B$2+IF(W32&lt;&gt;"",X32*IFERROR(VLOOKUP(W32,'DATOS COSTES POLIAMIDAS'!$A:$G,7,0),0),0)+IF(Y32&lt;&gt;"",Z32*IFERROR(VLOOKUP(Y32,'DATOS COSTES POLIAMIDAS'!$A:$G,7,0),0),0)+IF(AA32&lt;&gt;"",AB32*IFERROR(VLOOKUP(AA32,'DATOS COSTES POLIAMIDAS'!$A:$G,7,0),0),0)+IF(AC32&lt;&gt;"",AD32*IFERROR(VLOOKUP(AC32,'DATOS COSTES POLIAMIDAS'!$A:$G,7,0),0),0)+IF(AE32&lt;&gt;"",IFERROR(VLOOKUP(AE32,'DATOS COSTES MECANIZADOS'!$A:$F,6,0),0),0),4))</f>
        <v/>
      </c>
      <c r="AZ32" s="18" t="str">
        <f>IF($A32="","",ROUND(AY32+R32*CONFIGURACION!$B$6,4))</f>
        <v/>
      </c>
      <c r="BA32" s="18" t="str">
        <f>IF($A32="","",ROUND(AY32+R32*CONFIGURACION!$B$7,4))</f>
        <v/>
      </c>
      <c r="BB32" s="18" t="str">
        <f>IF($A32="","",ROUND(AY32+R32*CONFIGURACION!$B$5,4))</f>
        <v/>
      </c>
      <c r="BC32" s="18" t="str">
        <f>IF($A32="","",ROUND(AY32+R32*CONFIGURACION!$B$10+R32*T32*CONFIGURACION!$B$11,4))</f>
        <v/>
      </c>
      <c r="BD32" s="18" t="str">
        <f>IF($A32="","",ROUND(AY32+R32*CONFIGURACION!$B$8,4))</f>
        <v/>
      </c>
      <c r="BE32" s="18" t="str">
        <f>IF($A32="","",ROUND(AY32+R32*CONFIGURACION!$B$9,4))</f>
        <v/>
      </c>
      <c r="BF32" s="18" t="str">
        <f>IF($A32="","",ROUND(AY32+R32*CONFIGURACION!$B$13,4))</f>
        <v/>
      </c>
      <c r="BG32" s="18" t="str">
        <f>IF($A32="","",ROUND(AY32+R32*CONFIGURACION!$B$12,4))</f>
        <v/>
      </c>
      <c r="BH32" s="18" t="str">
        <f t="shared" si="2"/>
        <v/>
      </c>
      <c r="BI32" s="18" t="str">
        <f t="shared" si="3"/>
        <v/>
      </c>
      <c r="BJ32" s="18" t="str">
        <f t="shared" si="4"/>
        <v/>
      </c>
      <c r="BK32" s="18" t="str">
        <f t="shared" si="5"/>
        <v/>
      </c>
      <c r="BL32" s="18" t="str">
        <f t="shared" si="6"/>
        <v/>
      </c>
      <c r="BM32" s="18" t="str">
        <f t="shared" si="7"/>
        <v/>
      </c>
      <c r="BN32" s="18" t="str">
        <f t="shared" si="8"/>
        <v/>
      </c>
      <c r="BO32" s="18" t="str">
        <f t="shared" si="9"/>
        <v/>
      </c>
      <c r="BP32" s="18" t="str">
        <f t="shared" si="10"/>
        <v/>
      </c>
      <c r="BQ32" s="16"/>
      <c r="BR32" s="16"/>
      <c r="BS32" s="17"/>
    </row>
    <row r="33" spans="1:71" ht="16.05" customHeight="1" x14ac:dyDescent="0.3">
      <c r="A33" s="16"/>
      <c r="B33" s="16"/>
      <c r="C33" s="17"/>
      <c r="D33" s="17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7" t="str">
        <f t="shared" si="0"/>
        <v/>
      </c>
      <c r="V33" s="17" t="str">
        <f t="shared" si="1"/>
        <v/>
      </c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8" t="str">
        <f>IF($A33="","",ROUND(P33*CONFIGURACION!$B$2+IF(W33&lt;&gt;"",X33*IFERROR(VLOOKUP(W33,'DATOS COSTES POLIAMIDAS'!$A:$G,7,0),0),0)+IF(Y33&lt;&gt;"",Z33*IFERROR(VLOOKUP(Y33,'DATOS COSTES POLIAMIDAS'!$A:$G,7,0),0),0)+IF(AA33&lt;&gt;"",AB33*IFERROR(VLOOKUP(AA33,'DATOS COSTES POLIAMIDAS'!$A:$G,7,0),0),0)+IF(AC33&lt;&gt;"",AD33*IFERROR(VLOOKUP(AC33,'DATOS COSTES POLIAMIDAS'!$A:$G,7,0),0),0)+IF(AE33&lt;&gt;"",IFERROR(VLOOKUP(AE33,'DATOS COSTES MECANIZADOS'!$A:$F,6,0),0),0),4))</f>
        <v/>
      </c>
      <c r="AZ33" s="18" t="str">
        <f>IF($A33="","",ROUND(AY33+R33*CONFIGURACION!$B$6,4))</f>
        <v/>
      </c>
      <c r="BA33" s="18" t="str">
        <f>IF($A33="","",ROUND(AY33+R33*CONFIGURACION!$B$7,4))</f>
        <v/>
      </c>
      <c r="BB33" s="18" t="str">
        <f>IF($A33="","",ROUND(AY33+R33*CONFIGURACION!$B$5,4))</f>
        <v/>
      </c>
      <c r="BC33" s="18" t="str">
        <f>IF($A33="","",ROUND(AY33+R33*CONFIGURACION!$B$10+R33*T33*CONFIGURACION!$B$11,4))</f>
        <v/>
      </c>
      <c r="BD33" s="18" t="str">
        <f>IF($A33="","",ROUND(AY33+R33*CONFIGURACION!$B$8,4))</f>
        <v/>
      </c>
      <c r="BE33" s="18" t="str">
        <f>IF($A33="","",ROUND(AY33+R33*CONFIGURACION!$B$9,4))</f>
        <v/>
      </c>
      <c r="BF33" s="18" t="str">
        <f>IF($A33="","",ROUND(AY33+R33*CONFIGURACION!$B$13,4))</f>
        <v/>
      </c>
      <c r="BG33" s="18" t="str">
        <f>IF($A33="","",ROUND(AY33+R33*CONFIGURACION!$B$12,4))</f>
        <v/>
      </c>
      <c r="BH33" s="18" t="str">
        <f t="shared" si="2"/>
        <v/>
      </c>
      <c r="BI33" s="18" t="str">
        <f t="shared" si="3"/>
        <v/>
      </c>
      <c r="BJ33" s="18" t="str">
        <f t="shared" si="4"/>
        <v/>
      </c>
      <c r="BK33" s="18" t="str">
        <f t="shared" si="5"/>
        <v/>
      </c>
      <c r="BL33" s="18" t="str">
        <f t="shared" si="6"/>
        <v/>
      </c>
      <c r="BM33" s="18" t="str">
        <f t="shared" si="7"/>
        <v/>
      </c>
      <c r="BN33" s="18" t="str">
        <f t="shared" si="8"/>
        <v/>
      </c>
      <c r="BO33" s="18" t="str">
        <f t="shared" si="9"/>
        <v/>
      </c>
      <c r="BP33" s="18" t="str">
        <f t="shared" si="10"/>
        <v/>
      </c>
      <c r="BQ33" s="16"/>
      <c r="BR33" s="16"/>
      <c r="BS33" s="17"/>
    </row>
    <row r="34" spans="1:71" ht="16.05" customHeight="1" x14ac:dyDescent="0.3">
      <c r="A34" s="16"/>
      <c r="B34" s="16"/>
      <c r="C34" s="17"/>
      <c r="D34" s="17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7" t="str">
        <f t="shared" si="0"/>
        <v/>
      </c>
      <c r="V34" s="17" t="str">
        <f t="shared" si="1"/>
        <v/>
      </c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8" t="str">
        <f>IF($A34="","",ROUND(P34*CONFIGURACION!$B$2+IF(W34&lt;&gt;"",X34*IFERROR(VLOOKUP(W34,'DATOS COSTES POLIAMIDAS'!$A:$G,7,0),0),0)+IF(Y34&lt;&gt;"",Z34*IFERROR(VLOOKUP(Y34,'DATOS COSTES POLIAMIDAS'!$A:$G,7,0),0),0)+IF(AA34&lt;&gt;"",AB34*IFERROR(VLOOKUP(AA34,'DATOS COSTES POLIAMIDAS'!$A:$G,7,0),0),0)+IF(AC34&lt;&gt;"",AD34*IFERROR(VLOOKUP(AC34,'DATOS COSTES POLIAMIDAS'!$A:$G,7,0),0),0)+IF(AE34&lt;&gt;"",IFERROR(VLOOKUP(AE34,'DATOS COSTES MECANIZADOS'!$A:$F,6,0),0),0),4))</f>
        <v/>
      </c>
      <c r="AZ34" s="18" t="str">
        <f>IF($A34="","",ROUND(AY34+R34*CONFIGURACION!$B$6,4))</f>
        <v/>
      </c>
      <c r="BA34" s="18" t="str">
        <f>IF($A34="","",ROUND(AY34+R34*CONFIGURACION!$B$7,4))</f>
        <v/>
      </c>
      <c r="BB34" s="18" t="str">
        <f>IF($A34="","",ROUND(AY34+R34*CONFIGURACION!$B$5,4))</f>
        <v/>
      </c>
      <c r="BC34" s="18" t="str">
        <f>IF($A34="","",ROUND(AY34+R34*CONFIGURACION!$B$10+R34*T34*CONFIGURACION!$B$11,4))</f>
        <v/>
      </c>
      <c r="BD34" s="18" t="str">
        <f>IF($A34="","",ROUND(AY34+R34*CONFIGURACION!$B$8,4))</f>
        <v/>
      </c>
      <c r="BE34" s="18" t="str">
        <f>IF($A34="","",ROUND(AY34+R34*CONFIGURACION!$B$9,4))</f>
        <v/>
      </c>
      <c r="BF34" s="18" t="str">
        <f>IF($A34="","",ROUND(AY34+R34*CONFIGURACION!$B$13,4))</f>
        <v/>
      </c>
      <c r="BG34" s="18" t="str">
        <f>IF($A34="","",ROUND(AY34+R34*CONFIGURACION!$B$12,4))</f>
        <v/>
      </c>
      <c r="BH34" s="18" t="str">
        <f t="shared" si="2"/>
        <v/>
      </c>
      <c r="BI34" s="18" t="str">
        <f t="shared" si="3"/>
        <v/>
      </c>
      <c r="BJ34" s="18" t="str">
        <f t="shared" si="4"/>
        <v/>
      </c>
      <c r="BK34" s="18" t="str">
        <f t="shared" si="5"/>
        <v/>
      </c>
      <c r="BL34" s="18" t="str">
        <f t="shared" si="6"/>
        <v/>
      </c>
      <c r="BM34" s="18" t="str">
        <f t="shared" si="7"/>
        <v/>
      </c>
      <c r="BN34" s="18" t="str">
        <f t="shared" si="8"/>
        <v/>
      </c>
      <c r="BO34" s="18" t="str">
        <f t="shared" si="9"/>
        <v/>
      </c>
      <c r="BP34" s="18" t="str">
        <f t="shared" si="10"/>
        <v/>
      </c>
      <c r="BQ34" s="16"/>
      <c r="BR34" s="16"/>
      <c r="BS34" s="17"/>
    </row>
    <row r="35" spans="1:71" ht="16.05" customHeight="1" x14ac:dyDescent="0.3">
      <c r="A35" s="16"/>
      <c r="B35" s="16"/>
      <c r="C35" s="17"/>
      <c r="D35" s="17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7" t="str">
        <f t="shared" ref="U35:U66" si="11">IF($A35="","","X:\IMAGENES GEINPROD\"&amp;$A35&amp;".JPG")</f>
        <v/>
      </c>
      <c r="V35" s="17" t="str">
        <f t="shared" ref="V35:V66" si="12">IF($A35="","","X:\IMAGENES GEINPROD\PLANO ORIGINAL THERMIA\"&amp;$A35&amp;".pdf")</f>
        <v/>
      </c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8" t="str">
        <f>IF($A35="","",ROUND(P35*CONFIGURACION!$B$2+IF(W35&lt;&gt;"",X35*IFERROR(VLOOKUP(W35,'DATOS COSTES POLIAMIDAS'!$A:$G,7,0),0),0)+IF(Y35&lt;&gt;"",Z35*IFERROR(VLOOKUP(Y35,'DATOS COSTES POLIAMIDAS'!$A:$G,7,0),0),0)+IF(AA35&lt;&gt;"",AB35*IFERROR(VLOOKUP(AA35,'DATOS COSTES POLIAMIDAS'!$A:$G,7,0),0),0)+IF(AC35&lt;&gt;"",AD35*IFERROR(VLOOKUP(AC35,'DATOS COSTES POLIAMIDAS'!$A:$G,7,0),0),0)+IF(AE35&lt;&gt;"",IFERROR(VLOOKUP(AE35,'DATOS COSTES MECANIZADOS'!$A:$F,6,0),0),0),4))</f>
        <v/>
      </c>
      <c r="AZ35" s="18" t="str">
        <f>IF($A35="","",ROUND(AY35+R35*CONFIGURACION!$B$6,4))</f>
        <v/>
      </c>
      <c r="BA35" s="18" t="str">
        <f>IF($A35="","",ROUND(AY35+R35*CONFIGURACION!$B$7,4))</f>
        <v/>
      </c>
      <c r="BB35" s="18" t="str">
        <f>IF($A35="","",ROUND(AY35+R35*CONFIGURACION!$B$5,4))</f>
        <v/>
      </c>
      <c r="BC35" s="18" t="str">
        <f>IF($A35="","",ROUND(AY35+R35*CONFIGURACION!$B$10+R35*T35*CONFIGURACION!$B$11,4))</f>
        <v/>
      </c>
      <c r="BD35" s="18" t="str">
        <f>IF($A35="","",ROUND(AY35+R35*CONFIGURACION!$B$8,4))</f>
        <v/>
      </c>
      <c r="BE35" s="18" t="str">
        <f>IF($A35="","",ROUND(AY35+R35*CONFIGURACION!$B$9,4))</f>
        <v/>
      </c>
      <c r="BF35" s="18" t="str">
        <f>IF($A35="","",ROUND(AY35+R35*CONFIGURACION!$B$13,4))</f>
        <v/>
      </c>
      <c r="BG35" s="18" t="str">
        <f>IF($A35="","",ROUND(AY35+R35*CONFIGURACION!$B$12,4))</f>
        <v/>
      </c>
      <c r="BH35" s="18" t="str">
        <f t="shared" ref="BH35:BH66" si="13">IF($A35="","",IF(AP35="","",ROUND(AY35/AP35,4)))</f>
        <v/>
      </c>
      <c r="BI35" s="18" t="str">
        <f t="shared" ref="BI35:BI66" si="14">IF($A35="","",IF(AQ35="","",ROUND(AZ35/AQ35,4)))</f>
        <v/>
      </c>
      <c r="BJ35" s="18" t="str">
        <f t="shared" ref="BJ35:BJ66" si="15">IF($A35="","",IF(AR35="","",ROUND(BA35/AR35,4)))</f>
        <v/>
      </c>
      <c r="BK35" s="18" t="str">
        <f t="shared" ref="BK35:BK66" si="16">IF($A35="","",IF(AS35="","",ROUND(BB35/AS35,4)))</f>
        <v/>
      </c>
      <c r="BL35" s="18" t="str">
        <f t="shared" ref="BL35:BL66" si="17">IF($A35="","",IF(AT35="","",ROUND(BC35/AT35,4)))</f>
        <v/>
      </c>
      <c r="BM35" s="18" t="str">
        <f t="shared" ref="BM35:BM66" si="18">IF($A35="","",IF(AU35="","",ROUND(BD35/AU35,4)))</f>
        <v/>
      </c>
      <c r="BN35" s="18" t="str">
        <f t="shared" ref="BN35:BN66" si="19">IF($A35="","",IF(AV35="","",ROUND(BE35/AV35,4)))</f>
        <v/>
      </c>
      <c r="BO35" s="18" t="str">
        <f t="shared" ref="BO35:BO66" si="20">IF($A35="","",IF(AW35="","",ROUND(BF35/AW35,4)))</f>
        <v/>
      </c>
      <c r="BP35" s="18" t="str">
        <f t="shared" ref="BP35:BP66" si="21">IF($A35="","",IF(AX35="","",ROUND(BG35/AX35,4)))</f>
        <v/>
      </c>
      <c r="BQ35" s="16"/>
      <c r="BR35" s="16"/>
      <c r="BS35" s="17"/>
    </row>
    <row r="36" spans="1:71" ht="16.05" customHeight="1" x14ac:dyDescent="0.3">
      <c r="A36" s="16"/>
      <c r="B36" s="16"/>
      <c r="C36" s="17"/>
      <c r="D36" s="17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7" t="str">
        <f t="shared" si="11"/>
        <v/>
      </c>
      <c r="V36" s="17" t="str">
        <f t="shared" si="12"/>
        <v/>
      </c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8" t="str">
        <f>IF($A36="","",ROUND(P36*CONFIGURACION!$B$2+IF(W36&lt;&gt;"",X36*IFERROR(VLOOKUP(W36,'DATOS COSTES POLIAMIDAS'!$A:$G,7,0),0),0)+IF(Y36&lt;&gt;"",Z36*IFERROR(VLOOKUP(Y36,'DATOS COSTES POLIAMIDAS'!$A:$G,7,0),0),0)+IF(AA36&lt;&gt;"",AB36*IFERROR(VLOOKUP(AA36,'DATOS COSTES POLIAMIDAS'!$A:$G,7,0),0),0)+IF(AC36&lt;&gt;"",AD36*IFERROR(VLOOKUP(AC36,'DATOS COSTES POLIAMIDAS'!$A:$G,7,0),0),0)+IF(AE36&lt;&gt;"",IFERROR(VLOOKUP(AE36,'DATOS COSTES MECANIZADOS'!$A:$F,6,0),0),0),4))</f>
        <v/>
      </c>
      <c r="AZ36" s="18" t="str">
        <f>IF($A36="","",ROUND(AY36+R36*CONFIGURACION!$B$6,4))</f>
        <v/>
      </c>
      <c r="BA36" s="18" t="str">
        <f>IF($A36="","",ROUND(AY36+R36*CONFIGURACION!$B$7,4))</f>
        <v/>
      </c>
      <c r="BB36" s="18" t="str">
        <f>IF($A36="","",ROUND(AY36+R36*CONFIGURACION!$B$5,4))</f>
        <v/>
      </c>
      <c r="BC36" s="18" t="str">
        <f>IF($A36="","",ROUND(AY36+R36*CONFIGURACION!$B$10+R36*T36*CONFIGURACION!$B$11,4))</f>
        <v/>
      </c>
      <c r="BD36" s="18" t="str">
        <f>IF($A36="","",ROUND(AY36+R36*CONFIGURACION!$B$8,4))</f>
        <v/>
      </c>
      <c r="BE36" s="18" t="str">
        <f>IF($A36="","",ROUND(AY36+R36*CONFIGURACION!$B$9,4))</f>
        <v/>
      </c>
      <c r="BF36" s="18" t="str">
        <f>IF($A36="","",ROUND(AY36+R36*CONFIGURACION!$B$13,4))</f>
        <v/>
      </c>
      <c r="BG36" s="18" t="str">
        <f>IF($A36="","",ROUND(AY36+R36*CONFIGURACION!$B$12,4))</f>
        <v/>
      </c>
      <c r="BH36" s="18" t="str">
        <f t="shared" si="13"/>
        <v/>
      </c>
      <c r="BI36" s="18" t="str">
        <f t="shared" si="14"/>
        <v/>
      </c>
      <c r="BJ36" s="18" t="str">
        <f t="shared" si="15"/>
        <v/>
      </c>
      <c r="BK36" s="18" t="str">
        <f t="shared" si="16"/>
        <v/>
      </c>
      <c r="BL36" s="18" t="str">
        <f t="shared" si="17"/>
        <v/>
      </c>
      <c r="BM36" s="18" t="str">
        <f t="shared" si="18"/>
        <v/>
      </c>
      <c r="BN36" s="18" t="str">
        <f t="shared" si="19"/>
        <v/>
      </c>
      <c r="BO36" s="18" t="str">
        <f t="shared" si="20"/>
        <v/>
      </c>
      <c r="BP36" s="18" t="str">
        <f t="shared" si="21"/>
        <v/>
      </c>
      <c r="BQ36" s="16"/>
      <c r="BR36" s="16"/>
      <c r="BS36" s="17"/>
    </row>
    <row r="37" spans="1:71" ht="16.05" customHeight="1" x14ac:dyDescent="0.3">
      <c r="A37" s="16"/>
      <c r="B37" s="16"/>
      <c r="C37" s="17"/>
      <c r="D37" s="17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7" t="str">
        <f t="shared" si="11"/>
        <v/>
      </c>
      <c r="V37" s="17" t="str">
        <f t="shared" si="12"/>
        <v/>
      </c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8" t="str">
        <f>IF($A37="","",ROUND(P37*CONFIGURACION!$B$2+IF(W37&lt;&gt;"",X37*IFERROR(VLOOKUP(W37,'DATOS COSTES POLIAMIDAS'!$A:$G,7,0),0),0)+IF(Y37&lt;&gt;"",Z37*IFERROR(VLOOKUP(Y37,'DATOS COSTES POLIAMIDAS'!$A:$G,7,0),0),0)+IF(AA37&lt;&gt;"",AB37*IFERROR(VLOOKUP(AA37,'DATOS COSTES POLIAMIDAS'!$A:$G,7,0),0),0)+IF(AC37&lt;&gt;"",AD37*IFERROR(VLOOKUP(AC37,'DATOS COSTES POLIAMIDAS'!$A:$G,7,0),0),0)+IF(AE37&lt;&gt;"",IFERROR(VLOOKUP(AE37,'DATOS COSTES MECANIZADOS'!$A:$F,6,0),0),0),4))</f>
        <v/>
      </c>
      <c r="AZ37" s="18" t="str">
        <f>IF($A37="","",ROUND(AY37+R37*CONFIGURACION!$B$6,4))</f>
        <v/>
      </c>
      <c r="BA37" s="18" t="str">
        <f>IF($A37="","",ROUND(AY37+R37*CONFIGURACION!$B$7,4))</f>
        <v/>
      </c>
      <c r="BB37" s="18" t="str">
        <f>IF($A37="","",ROUND(AY37+R37*CONFIGURACION!$B$5,4))</f>
        <v/>
      </c>
      <c r="BC37" s="18" t="str">
        <f>IF($A37="","",ROUND(AY37+R37*CONFIGURACION!$B$10+R37*T37*CONFIGURACION!$B$11,4))</f>
        <v/>
      </c>
      <c r="BD37" s="18" t="str">
        <f>IF($A37="","",ROUND(AY37+R37*CONFIGURACION!$B$8,4))</f>
        <v/>
      </c>
      <c r="BE37" s="18" t="str">
        <f>IF($A37="","",ROUND(AY37+R37*CONFIGURACION!$B$9,4))</f>
        <v/>
      </c>
      <c r="BF37" s="18" t="str">
        <f>IF($A37="","",ROUND(AY37+R37*CONFIGURACION!$B$13,4))</f>
        <v/>
      </c>
      <c r="BG37" s="18" t="str">
        <f>IF($A37="","",ROUND(AY37+R37*CONFIGURACION!$B$12,4))</f>
        <v/>
      </c>
      <c r="BH37" s="18" t="str">
        <f t="shared" si="13"/>
        <v/>
      </c>
      <c r="BI37" s="18" t="str">
        <f t="shared" si="14"/>
        <v/>
      </c>
      <c r="BJ37" s="18" t="str">
        <f t="shared" si="15"/>
        <v/>
      </c>
      <c r="BK37" s="18" t="str">
        <f t="shared" si="16"/>
        <v/>
      </c>
      <c r="BL37" s="18" t="str">
        <f t="shared" si="17"/>
        <v/>
      </c>
      <c r="BM37" s="18" t="str">
        <f t="shared" si="18"/>
        <v/>
      </c>
      <c r="BN37" s="18" t="str">
        <f t="shared" si="19"/>
        <v/>
      </c>
      <c r="BO37" s="18" t="str">
        <f t="shared" si="20"/>
        <v/>
      </c>
      <c r="BP37" s="18" t="str">
        <f t="shared" si="21"/>
        <v/>
      </c>
      <c r="BQ37" s="16"/>
      <c r="BR37" s="16"/>
      <c r="BS37" s="17"/>
    </row>
    <row r="38" spans="1:71" ht="16.05" customHeight="1" x14ac:dyDescent="0.3">
      <c r="A38" s="16"/>
      <c r="B38" s="16"/>
      <c r="C38" s="17"/>
      <c r="D38" s="17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7" t="str">
        <f t="shared" si="11"/>
        <v/>
      </c>
      <c r="V38" s="17" t="str">
        <f t="shared" si="12"/>
        <v/>
      </c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8" t="str">
        <f>IF($A38="","",ROUND(P38*CONFIGURACION!$B$2+IF(W38&lt;&gt;"",X38*IFERROR(VLOOKUP(W38,'DATOS COSTES POLIAMIDAS'!$A:$G,7,0),0),0)+IF(Y38&lt;&gt;"",Z38*IFERROR(VLOOKUP(Y38,'DATOS COSTES POLIAMIDAS'!$A:$G,7,0),0),0)+IF(AA38&lt;&gt;"",AB38*IFERROR(VLOOKUP(AA38,'DATOS COSTES POLIAMIDAS'!$A:$G,7,0),0),0)+IF(AC38&lt;&gt;"",AD38*IFERROR(VLOOKUP(AC38,'DATOS COSTES POLIAMIDAS'!$A:$G,7,0),0),0)+IF(AE38&lt;&gt;"",IFERROR(VLOOKUP(AE38,'DATOS COSTES MECANIZADOS'!$A:$F,6,0),0),0),4))</f>
        <v/>
      </c>
      <c r="AZ38" s="18" t="str">
        <f>IF($A38="","",ROUND(AY38+R38*CONFIGURACION!$B$6,4))</f>
        <v/>
      </c>
      <c r="BA38" s="18" t="str">
        <f>IF($A38="","",ROUND(AY38+R38*CONFIGURACION!$B$7,4))</f>
        <v/>
      </c>
      <c r="BB38" s="18" t="str">
        <f>IF($A38="","",ROUND(AY38+R38*CONFIGURACION!$B$5,4))</f>
        <v/>
      </c>
      <c r="BC38" s="18" t="str">
        <f>IF($A38="","",ROUND(AY38+R38*CONFIGURACION!$B$10+R38*T38*CONFIGURACION!$B$11,4))</f>
        <v/>
      </c>
      <c r="BD38" s="18" t="str">
        <f>IF($A38="","",ROUND(AY38+R38*CONFIGURACION!$B$8,4))</f>
        <v/>
      </c>
      <c r="BE38" s="18" t="str">
        <f>IF($A38="","",ROUND(AY38+R38*CONFIGURACION!$B$9,4))</f>
        <v/>
      </c>
      <c r="BF38" s="18" t="str">
        <f>IF($A38="","",ROUND(AY38+R38*CONFIGURACION!$B$13,4))</f>
        <v/>
      </c>
      <c r="BG38" s="18" t="str">
        <f>IF($A38="","",ROUND(AY38+R38*CONFIGURACION!$B$12,4))</f>
        <v/>
      </c>
      <c r="BH38" s="18" t="str">
        <f t="shared" si="13"/>
        <v/>
      </c>
      <c r="BI38" s="18" t="str">
        <f t="shared" si="14"/>
        <v/>
      </c>
      <c r="BJ38" s="18" t="str">
        <f t="shared" si="15"/>
        <v/>
      </c>
      <c r="BK38" s="18" t="str">
        <f t="shared" si="16"/>
        <v/>
      </c>
      <c r="BL38" s="18" t="str">
        <f t="shared" si="17"/>
        <v/>
      </c>
      <c r="BM38" s="18" t="str">
        <f t="shared" si="18"/>
        <v/>
      </c>
      <c r="BN38" s="18" t="str">
        <f t="shared" si="19"/>
        <v/>
      </c>
      <c r="BO38" s="18" t="str">
        <f t="shared" si="20"/>
        <v/>
      </c>
      <c r="BP38" s="18" t="str">
        <f t="shared" si="21"/>
        <v/>
      </c>
      <c r="BQ38" s="16"/>
      <c r="BR38" s="16"/>
      <c r="BS38" s="17"/>
    </row>
    <row r="39" spans="1:71" ht="16.05" customHeight="1" x14ac:dyDescent="0.3">
      <c r="A39" s="16"/>
      <c r="B39" s="16"/>
      <c r="C39" s="17"/>
      <c r="D39" s="17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7" t="str">
        <f t="shared" si="11"/>
        <v/>
      </c>
      <c r="V39" s="17" t="str">
        <f t="shared" si="12"/>
        <v/>
      </c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8" t="str">
        <f>IF($A39="","",ROUND(P39*CONFIGURACION!$B$2+IF(W39&lt;&gt;"",X39*IFERROR(VLOOKUP(W39,'DATOS COSTES POLIAMIDAS'!$A:$G,7,0),0),0)+IF(Y39&lt;&gt;"",Z39*IFERROR(VLOOKUP(Y39,'DATOS COSTES POLIAMIDAS'!$A:$G,7,0),0),0)+IF(AA39&lt;&gt;"",AB39*IFERROR(VLOOKUP(AA39,'DATOS COSTES POLIAMIDAS'!$A:$G,7,0),0),0)+IF(AC39&lt;&gt;"",AD39*IFERROR(VLOOKUP(AC39,'DATOS COSTES POLIAMIDAS'!$A:$G,7,0),0),0)+IF(AE39&lt;&gt;"",IFERROR(VLOOKUP(AE39,'DATOS COSTES MECANIZADOS'!$A:$F,6,0),0),0),4))</f>
        <v/>
      </c>
      <c r="AZ39" s="18" t="str">
        <f>IF($A39="","",ROUND(AY39+R39*CONFIGURACION!$B$6,4))</f>
        <v/>
      </c>
      <c r="BA39" s="18" t="str">
        <f>IF($A39="","",ROUND(AY39+R39*CONFIGURACION!$B$7,4))</f>
        <v/>
      </c>
      <c r="BB39" s="18" t="str">
        <f>IF($A39="","",ROUND(AY39+R39*CONFIGURACION!$B$5,4))</f>
        <v/>
      </c>
      <c r="BC39" s="18" t="str">
        <f>IF($A39="","",ROUND(AY39+R39*CONFIGURACION!$B$10+R39*T39*CONFIGURACION!$B$11,4))</f>
        <v/>
      </c>
      <c r="BD39" s="18" t="str">
        <f>IF($A39="","",ROUND(AY39+R39*CONFIGURACION!$B$8,4))</f>
        <v/>
      </c>
      <c r="BE39" s="18" t="str">
        <f>IF($A39="","",ROUND(AY39+R39*CONFIGURACION!$B$9,4))</f>
        <v/>
      </c>
      <c r="BF39" s="18" t="str">
        <f>IF($A39="","",ROUND(AY39+R39*CONFIGURACION!$B$13,4))</f>
        <v/>
      </c>
      <c r="BG39" s="18" t="str">
        <f>IF($A39="","",ROUND(AY39+R39*CONFIGURACION!$B$12,4))</f>
        <v/>
      </c>
      <c r="BH39" s="18" t="str">
        <f t="shared" si="13"/>
        <v/>
      </c>
      <c r="BI39" s="18" t="str">
        <f t="shared" si="14"/>
        <v/>
      </c>
      <c r="BJ39" s="18" t="str">
        <f t="shared" si="15"/>
        <v/>
      </c>
      <c r="BK39" s="18" t="str">
        <f t="shared" si="16"/>
        <v/>
      </c>
      <c r="BL39" s="18" t="str">
        <f t="shared" si="17"/>
        <v/>
      </c>
      <c r="BM39" s="18" t="str">
        <f t="shared" si="18"/>
        <v/>
      </c>
      <c r="BN39" s="18" t="str">
        <f t="shared" si="19"/>
        <v/>
      </c>
      <c r="BO39" s="18" t="str">
        <f t="shared" si="20"/>
        <v/>
      </c>
      <c r="BP39" s="18" t="str">
        <f t="shared" si="21"/>
        <v/>
      </c>
      <c r="BQ39" s="16"/>
      <c r="BR39" s="16"/>
      <c r="BS39" s="17"/>
    </row>
    <row r="40" spans="1:71" ht="16.05" customHeight="1" x14ac:dyDescent="0.3">
      <c r="A40" s="16"/>
      <c r="B40" s="16"/>
      <c r="C40" s="17"/>
      <c r="D40" s="17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7" t="str">
        <f t="shared" si="11"/>
        <v/>
      </c>
      <c r="V40" s="17" t="str">
        <f t="shared" si="12"/>
        <v/>
      </c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8" t="str">
        <f>IF($A40="","",ROUND(P40*CONFIGURACION!$B$2+IF(W40&lt;&gt;"",X40*IFERROR(VLOOKUP(W40,'DATOS COSTES POLIAMIDAS'!$A:$G,7,0),0),0)+IF(Y40&lt;&gt;"",Z40*IFERROR(VLOOKUP(Y40,'DATOS COSTES POLIAMIDAS'!$A:$G,7,0),0),0)+IF(AA40&lt;&gt;"",AB40*IFERROR(VLOOKUP(AA40,'DATOS COSTES POLIAMIDAS'!$A:$G,7,0),0),0)+IF(AC40&lt;&gt;"",AD40*IFERROR(VLOOKUP(AC40,'DATOS COSTES POLIAMIDAS'!$A:$G,7,0),0),0)+IF(AE40&lt;&gt;"",IFERROR(VLOOKUP(AE40,'DATOS COSTES MECANIZADOS'!$A:$F,6,0),0),0),4))</f>
        <v/>
      </c>
      <c r="AZ40" s="18" t="str">
        <f>IF($A40="","",ROUND(AY40+R40*CONFIGURACION!$B$6,4))</f>
        <v/>
      </c>
      <c r="BA40" s="18" t="str">
        <f>IF($A40="","",ROUND(AY40+R40*CONFIGURACION!$B$7,4))</f>
        <v/>
      </c>
      <c r="BB40" s="18" t="str">
        <f>IF($A40="","",ROUND(AY40+R40*CONFIGURACION!$B$5,4))</f>
        <v/>
      </c>
      <c r="BC40" s="18" t="str">
        <f>IF($A40="","",ROUND(AY40+R40*CONFIGURACION!$B$10+R40*T40*CONFIGURACION!$B$11,4))</f>
        <v/>
      </c>
      <c r="BD40" s="18" t="str">
        <f>IF($A40="","",ROUND(AY40+R40*CONFIGURACION!$B$8,4))</f>
        <v/>
      </c>
      <c r="BE40" s="18" t="str">
        <f>IF($A40="","",ROUND(AY40+R40*CONFIGURACION!$B$9,4))</f>
        <v/>
      </c>
      <c r="BF40" s="18" t="str">
        <f>IF($A40="","",ROUND(AY40+R40*CONFIGURACION!$B$13,4))</f>
        <v/>
      </c>
      <c r="BG40" s="18" t="str">
        <f>IF($A40="","",ROUND(AY40+R40*CONFIGURACION!$B$12,4))</f>
        <v/>
      </c>
      <c r="BH40" s="18" t="str">
        <f t="shared" si="13"/>
        <v/>
      </c>
      <c r="BI40" s="18" t="str">
        <f t="shared" si="14"/>
        <v/>
      </c>
      <c r="BJ40" s="18" t="str">
        <f t="shared" si="15"/>
        <v/>
      </c>
      <c r="BK40" s="18" t="str">
        <f t="shared" si="16"/>
        <v/>
      </c>
      <c r="BL40" s="18" t="str">
        <f t="shared" si="17"/>
        <v/>
      </c>
      <c r="BM40" s="18" t="str">
        <f t="shared" si="18"/>
        <v/>
      </c>
      <c r="BN40" s="18" t="str">
        <f t="shared" si="19"/>
        <v/>
      </c>
      <c r="BO40" s="18" t="str">
        <f t="shared" si="20"/>
        <v/>
      </c>
      <c r="BP40" s="18" t="str">
        <f t="shared" si="21"/>
        <v/>
      </c>
      <c r="BQ40" s="16"/>
      <c r="BR40" s="16"/>
      <c r="BS40" s="17"/>
    </row>
    <row r="41" spans="1:71" ht="16.05" customHeight="1" x14ac:dyDescent="0.3">
      <c r="A41" s="16"/>
      <c r="B41" s="16"/>
      <c r="C41" s="17"/>
      <c r="D41" s="17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7" t="str">
        <f t="shared" si="11"/>
        <v/>
      </c>
      <c r="V41" s="17" t="str">
        <f t="shared" si="12"/>
        <v/>
      </c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8" t="str">
        <f>IF($A41="","",ROUND(P41*CONFIGURACION!$B$2+IF(W41&lt;&gt;"",X41*IFERROR(VLOOKUP(W41,'DATOS COSTES POLIAMIDAS'!$A:$G,7,0),0),0)+IF(Y41&lt;&gt;"",Z41*IFERROR(VLOOKUP(Y41,'DATOS COSTES POLIAMIDAS'!$A:$G,7,0),0),0)+IF(AA41&lt;&gt;"",AB41*IFERROR(VLOOKUP(AA41,'DATOS COSTES POLIAMIDAS'!$A:$G,7,0),0),0)+IF(AC41&lt;&gt;"",AD41*IFERROR(VLOOKUP(AC41,'DATOS COSTES POLIAMIDAS'!$A:$G,7,0),0),0)+IF(AE41&lt;&gt;"",IFERROR(VLOOKUP(AE41,'DATOS COSTES MECANIZADOS'!$A:$F,6,0),0),0),4))</f>
        <v/>
      </c>
      <c r="AZ41" s="18" t="str">
        <f>IF($A41="","",ROUND(AY41+R41*CONFIGURACION!$B$6,4))</f>
        <v/>
      </c>
      <c r="BA41" s="18" t="str">
        <f>IF($A41="","",ROUND(AY41+R41*CONFIGURACION!$B$7,4))</f>
        <v/>
      </c>
      <c r="BB41" s="18" t="str">
        <f>IF($A41="","",ROUND(AY41+R41*CONFIGURACION!$B$5,4))</f>
        <v/>
      </c>
      <c r="BC41" s="18" t="str">
        <f>IF($A41="","",ROUND(AY41+R41*CONFIGURACION!$B$10+R41*T41*CONFIGURACION!$B$11,4))</f>
        <v/>
      </c>
      <c r="BD41" s="18" t="str">
        <f>IF($A41="","",ROUND(AY41+R41*CONFIGURACION!$B$8,4))</f>
        <v/>
      </c>
      <c r="BE41" s="18" t="str">
        <f>IF($A41="","",ROUND(AY41+R41*CONFIGURACION!$B$9,4))</f>
        <v/>
      </c>
      <c r="BF41" s="18" t="str">
        <f>IF($A41="","",ROUND(AY41+R41*CONFIGURACION!$B$13,4))</f>
        <v/>
      </c>
      <c r="BG41" s="18" t="str">
        <f>IF($A41="","",ROUND(AY41+R41*CONFIGURACION!$B$12,4))</f>
        <v/>
      </c>
      <c r="BH41" s="18" t="str">
        <f t="shared" si="13"/>
        <v/>
      </c>
      <c r="BI41" s="18" t="str">
        <f t="shared" si="14"/>
        <v/>
      </c>
      <c r="BJ41" s="18" t="str">
        <f t="shared" si="15"/>
        <v/>
      </c>
      <c r="BK41" s="18" t="str">
        <f t="shared" si="16"/>
        <v/>
      </c>
      <c r="BL41" s="18" t="str">
        <f t="shared" si="17"/>
        <v/>
      </c>
      <c r="BM41" s="18" t="str">
        <f t="shared" si="18"/>
        <v/>
      </c>
      <c r="BN41" s="18" t="str">
        <f t="shared" si="19"/>
        <v/>
      </c>
      <c r="BO41" s="18" t="str">
        <f t="shared" si="20"/>
        <v/>
      </c>
      <c r="BP41" s="18" t="str">
        <f t="shared" si="21"/>
        <v/>
      </c>
      <c r="BQ41" s="16"/>
      <c r="BR41" s="16"/>
      <c r="BS41" s="17"/>
    </row>
    <row r="42" spans="1:71" ht="16.05" customHeight="1" x14ac:dyDescent="0.3">
      <c r="A42" s="16"/>
      <c r="B42" s="16"/>
      <c r="C42" s="17"/>
      <c r="D42" s="17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7" t="str">
        <f t="shared" si="11"/>
        <v/>
      </c>
      <c r="V42" s="17" t="str">
        <f t="shared" si="12"/>
        <v/>
      </c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8" t="str">
        <f>IF($A42="","",ROUND(P42*CONFIGURACION!$B$2+IF(W42&lt;&gt;"",X42*IFERROR(VLOOKUP(W42,'DATOS COSTES POLIAMIDAS'!$A:$G,7,0),0),0)+IF(Y42&lt;&gt;"",Z42*IFERROR(VLOOKUP(Y42,'DATOS COSTES POLIAMIDAS'!$A:$G,7,0),0),0)+IF(AA42&lt;&gt;"",AB42*IFERROR(VLOOKUP(AA42,'DATOS COSTES POLIAMIDAS'!$A:$G,7,0),0),0)+IF(AC42&lt;&gt;"",AD42*IFERROR(VLOOKUP(AC42,'DATOS COSTES POLIAMIDAS'!$A:$G,7,0),0),0)+IF(AE42&lt;&gt;"",IFERROR(VLOOKUP(AE42,'DATOS COSTES MECANIZADOS'!$A:$F,6,0),0),0),4))</f>
        <v/>
      </c>
      <c r="AZ42" s="18" t="str">
        <f>IF($A42="","",ROUND(AY42+R42*CONFIGURACION!$B$6,4))</f>
        <v/>
      </c>
      <c r="BA42" s="18" t="str">
        <f>IF($A42="","",ROUND(AY42+R42*CONFIGURACION!$B$7,4))</f>
        <v/>
      </c>
      <c r="BB42" s="18" t="str">
        <f>IF($A42="","",ROUND(AY42+R42*CONFIGURACION!$B$5,4))</f>
        <v/>
      </c>
      <c r="BC42" s="18" t="str">
        <f>IF($A42="","",ROUND(AY42+R42*CONFIGURACION!$B$10+R42*T42*CONFIGURACION!$B$11,4))</f>
        <v/>
      </c>
      <c r="BD42" s="18" t="str">
        <f>IF($A42="","",ROUND(AY42+R42*CONFIGURACION!$B$8,4))</f>
        <v/>
      </c>
      <c r="BE42" s="18" t="str">
        <f>IF($A42="","",ROUND(AY42+R42*CONFIGURACION!$B$9,4))</f>
        <v/>
      </c>
      <c r="BF42" s="18" t="str">
        <f>IF($A42="","",ROUND(AY42+R42*CONFIGURACION!$B$13,4))</f>
        <v/>
      </c>
      <c r="BG42" s="18" t="str">
        <f>IF($A42="","",ROUND(AY42+R42*CONFIGURACION!$B$12,4))</f>
        <v/>
      </c>
      <c r="BH42" s="18" t="str">
        <f t="shared" si="13"/>
        <v/>
      </c>
      <c r="BI42" s="18" t="str">
        <f t="shared" si="14"/>
        <v/>
      </c>
      <c r="BJ42" s="18" t="str">
        <f t="shared" si="15"/>
        <v/>
      </c>
      <c r="BK42" s="18" t="str">
        <f t="shared" si="16"/>
        <v/>
      </c>
      <c r="BL42" s="18" t="str">
        <f t="shared" si="17"/>
        <v/>
      </c>
      <c r="BM42" s="18" t="str">
        <f t="shared" si="18"/>
        <v/>
      </c>
      <c r="BN42" s="18" t="str">
        <f t="shared" si="19"/>
        <v/>
      </c>
      <c r="BO42" s="18" t="str">
        <f t="shared" si="20"/>
        <v/>
      </c>
      <c r="BP42" s="18" t="str">
        <f t="shared" si="21"/>
        <v/>
      </c>
      <c r="BQ42" s="16"/>
      <c r="BR42" s="16"/>
      <c r="BS42" s="17"/>
    </row>
    <row r="43" spans="1:71" ht="16.05" customHeight="1" x14ac:dyDescent="0.3">
      <c r="A43" s="16"/>
      <c r="B43" s="16"/>
      <c r="C43" s="17"/>
      <c r="D43" s="17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7" t="str">
        <f t="shared" si="11"/>
        <v/>
      </c>
      <c r="V43" s="17" t="str">
        <f t="shared" si="12"/>
        <v/>
      </c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8" t="str">
        <f>IF($A43="","",ROUND(P43*CONFIGURACION!$B$2+IF(W43&lt;&gt;"",X43*IFERROR(VLOOKUP(W43,'DATOS COSTES POLIAMIDAS'!$A:$G,7,0),0),0)+IF(Y43&lt;&gt;"",Z43*IFERROR(VLOOKUP(Y43,'DATOS COSTES POLIAMIDAS'!$A:$G,7,0),0),0)+IF(AA43&lt;&gt;"",AB43*IFERROR(VLOOKUP(AA43,'DATOS COSTES POLIAMIDAS'!$A:$G,7,0),0),0)+IF(AC43&lt;&gt;"",AD43*IFERROR(VLOOKUP(AC43,'DATOS COSTES POLIAMIDAS'!$A:$G,7,0),0),0)+IF(AE43&lt;&gt;"",IFERROR(VLOOKUP(AE43,'DATOS COSTES MECANIZADOS'!$A:$F,6,0),0),0),4))</f>
        <v/>
      </c>
      <c r="AZ43" s="18" t="str">
        <f>IF($A43="","",ROUND(AY43+R43*CONFIGURACION!$B$6,4))</f>
        <v/>
      </c>
      <c r="BA43" s="18" t="str">
        <f>IF($A43="","",ROUND(AY43+R43*CONFIGURACION!$B$7,4))</f>
        <v/>
      </c>
      <c r="BB43" s="18" t="str">
        <f>IF($A43="","",ROUND(AY43+R43*CONFIGURACION!$B$5,4))</f>
        <v/>
      </c>
      <c r="BC43" s="18" t="str">
        <f>IF($A43="","",ROUND(AY43+R43*CONFIGURACION!$B$10+R43*T43*CONFIGURACION!$B$11,4))</f>
        <v/>
      </c>
      <c r="BD43" s="18" t="str">
        <f>IF($A43="","",ROUND(AY43+R43*CONFIGURACION!$B$8,4))</f>
        <v/>
      </c>
      <c r="BE43" s="18" t="str">
        <f>IF($A43="","",ROUND(AY43+R43*CONFIGURACION!$B$9,4))</f>
        <v/>
      </c>
      <c r="BF43" s="18" t="str">
        <f>IF($A43="","",ROUND(AY43+R43*CONFIGURACION!$B$13,4))</f>
        <v/>
      </c>
      <c r="BG43" s="18" t="str">
        <f>IF($A43="","",ROUND(AY43+R43*CONFIGURACION!$B$12,4))</f>
        <v/>
      </c>
      <c r="BH43" s="18" t="str">
        <f t="shared" si="13"/>
        <v/>
      </c>
      <c r="BI43" s="18" t="str">
        <f t="shared" si="14"/>
        <v/>
      </c>
      <c r="BJ43" s="18" t="str">
        <f t="shared" si="15"/>
        <v/>
      </c>
      <c r="BK43" s="18" t="str">
        <f t="shared" si="16"/>
        <v/>
      </c>
      <c r="BL43" s="18" t="str">
        <f t="shared" si="17"/>
        <v/>
      </c>
      <c r="BM43" s="18" t="str">
        <f t="shared" si="18"/>
        <v/>
      </c>
      <c r="BN43" s="18" t="str">
        <f t="shared" si="19"/>
        <v/>
      </c>
      <c r="BO43" s="18" t="str">
        <f t="shared" si="20"/>
        <v/>
      </c>
      <c r="BP43" s="18" t="str">
        <f t="shared" si="21"/>
        <v/>
      </c>
      <c r="BQ43" s="16"/>
      <c r="BR43" s="16"/>
      <c r="BS43" s="17"/>
    </row>
    <row r="44" spans="1:71" ht="16.05" customHeight="1" x14ac:dyDescent="0.3">
      <c r="A44" s="16"/>
      <c r="B44" s="16"/>
      <c r="C44" s="17"/>
      <c r="D44" s="17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7" t="str">
        <f t="shared" si="11"/>
        <v/>
      </c>
      <c r="V44" s="17" t="str">
        <f t="shared" si="12"/>
        <v/>
      </c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8" t="str">
        <f>IF($A44="","",ROUND(P44*CONFIGURACION!$B$2+IF(W44&lt;&gt;"",X44*IFERROR(VLOOKUP(W44,'DATOS COSTES POLIAMIDAS'!$A:$G,7,0),0),0)+IF(Y44&lt;&gt;"",Z44*IFERROR(VLOOKUP(Y44,'DATOS COSTES POLIAMIDAS'!$A:$G,7,0),0),0)+IF(AA44&lt;&gt;"",AB44*IFERROR(VLOOKUP(AA44,'DATOS COSTES POLIAMIDAS'!$A:$G,7,0),0),0)+IF(AC44&lt;&gt;"",AD44*IFERROR(VLOOKUP(AC44,'DATOS COSTES POLIAMIDAS'!$A:$G,7,0),0),0)+IF(AE44&lt;&gt;"",IFERROR(VLOOKUP(AE44,'DATOS COSTES MECANIZADOS'!$A:$F,6,0),0),0),4))</f>
        <v/>
      </c>
      <c r="AZ44" s="18" t="str">
        <f>IF($A44="","",ROUND(AY44+R44*CONFIGURACION!$B$6,4))</f>
        <v/>
      </c>
      <c r="BA44" s="18" t="str">
        <f>IF($A44="","",ROUND(AY44+R44*CONFIGURACION!$B$7,4))</f>
        <v/>
      </c>
      <c r="BB44" s="18" t="str">
        <f>IF($A44="","",ROUND(AY44+R44*CONFIGURACION!$B$5,4))</f>
        <v/>
      </c>
      <c r="BC44" s="18" t="str">
        <f>IF($A44="","",ROUND(AY44+R44*CONFIGURACION!$B$10+R44*T44*CONFIGURACION!$B$11,4))</f>
        <v/>
      </c>
      <c r="BD44" s="18" t="str">
        <f>IF($A44="","",ROUND(AY44+R44*CONFIGURACION!$B$8,4))</f>
        <v/>
      </c>
      <c r="BE44" s="18" t="str">
        <f>IF($A44="","",ROUND(AY44+R44*CONFIGURACION!$B$9,4))</f>
        <v/>
      </c>
      <c r="BF44" s="18" t="str">
        <f>IF($A44="","",ROUND(AY44+R44*CONFIGURACION!$B$13,4))</f>
        <v/>
      </c>
      <c r="BG44" s="18" t="str">
        <f>IF($A44="","",ROUND(AY44+R44*CONFIGURACION!$B$12,4))</f>
        <v/>
      </c>
      <c r="BH44" s="18" t="str">
        <f t="shared" si="13"/>
        <v/>
      </c>
      <c r="BI44" s="18" t="str">
        <f t="shared" si="14"/>
        <v/>
      </c>
      <c r="BJ44" s="18" t="str">
        <f t="shared" si="15"/>
        <v/>
      </c>
      <c r="BK44" s="18" t="str">
        <f t="shared" si="16"/>
        <v/>
      </c>
      <c r="BL44" s="18" t="str">
        <f t="shared" si="17"/>
        <v/>
      </c>
      <c r="BM44" s="18" t="str">
        <f t="shared" si="18"/>
        <v/>
      </c>
      <c r="BN44" s="18" t="str">
        <f t="shared" si="19"/>
        <v/>
      </c>
      <c r="BO44" s="18" t="str">
        <f t="shared" si="20"/>
        <v/>
      </c>
      <c r="BP44" s="18" t="str">
        <f t="shared" si="21"/>
        <v/>
      </c>
      <c r="BQ44" s="16"/>
      <c r="BR44" s="16"/>
      <c r="BS44" s="17"/>
    </row>
    <row r="45" spans="1:71" ht="16.05" customHeight="1" x14ac:dyDescent="0.3">
      <c r="A45" s="16"/>
      <c r="B45" s="16"/>
      <c r="C45" s="17"/>
      <c r="D45" s="17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7" t="str">
        <f t="shared" si="11"/>
        <v/>
      </c>
      <c r="V45" s="17" t="str">
        <f t="shared" si="12"/>
        <v/>
      </c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8" t="str">
        <f>IF($A45="","",ROUND(P45*CONFIGURACION!$B$2+IF(W45&lt;&gt;"",X45*IFERROR(VLOOKUP(W45,'DATOS COSTES POLIAMIDAS'!$A:$G,7,0),0),0)+IF(Y45&lt;&gt;"",Z45*IFERROR(VLOOKUP(Y45,'DATOS COSTES POLIAMIDAS'!$A:$G,7,0),0),0)+IF(AA45&lt;&gt;"",AB45*IFERROR(VLOOKUP(AA45,'DATOS COSTES POLIAMIDAS'!$A:$G,7,0),0),0)+IF(AC45&lt;&gt;"",AD45*IFERROR(VLOOKUP(AC45,'DATOS COSTES POLIAMIDAS'!$A:$G,7,0),0),0)+IF(AE45&lt;&gt;"",IFERROR(VLOOKUP(AE45,'DATOS COSTES MECANIZADOS'!$A:$F,6,0),0),0),4))</f>
        <v/>
      </c>
      <c r="AZ45" s="18" t="str">
        <f>IF($A45="","",ROUND(AY45+R45*CONFIGURACION!$B$6,4))</f>
        <v/>
      </c>
      <c r="BA45" s="18" t="str">
        <f>IF($A45="","",ROUND(AY45+R45*CONFIGURACION!$B$7,4))</f>
        <v/>
      </c>
      <c r="BB45" s="18" t="str">
        <f>IF($A45="","",ROUND(AY45+R45*CONFIGURACION!$B$5,4))</f>
        <v/>
      </c>
      <c r="BC45" s="18" t="str">
        <f>IF($A45="","",ROUND(AY45+R45*CONFIGURACION!$B$10+R45*T45*CONFIGURACION!$B$11,4))</f>
        <v/>
      </c>
      <c r="BD45" s="18" t="str">
        <f>IF($A45="","",ROUND(AY45+R45*CONFIGURACION!$B$8,4))</f>
        <v/>
      </c>
      <c r="BE45" s="18" t="str">
        <f>IF($A45="","",ROUND(AY45+R45*CONFIGURACION!$B$9,4))</f>
        <v/>
      </c>
      <c r="BF45" s="18" t="str">
        <f>IF($A45="","",ROUND(AY45+R45*CONFIGURACION!$B$13,4))</f>
        <v/>
      </c>
      <c r="BG45" s="18" t="str">
        <f>IF($A45="","",ROUND(AY45+R45*CONFIGURACION!$B$12,4))</f>
        <v/>
      </c>
      <c r="BH45" s="18" t="str">
        <f t="shared" si="13"/>
        <v/>
      </c>
      <c r="BI45" s="18" t="str">
        <f t="shared" si="14"/>
        <v/>
      </c>
      <c r="BJ45" s="18" t="str">
        <f t="shared" si="15"/>
        <v/>
      </c>
      <c r="BK45" s="18" t="str">
        <f t="shared" si="16"/>
        <v/>
      </c>
      <c r="BL45" s="18" t="str">
        <f t="shared" si="17"/>
        <v/>
      </c>
      <c r="BM45" s="18" t="str">
        <f t="shared" si="18"/>
        <v/>
      </c>
      <c r="BN45" s="18" t="str">
        <f t="shared" si="19"/>
        <v/>
      </c>
      <c r="BO45" s="18" t="str">
        <f t="shared" si="20"/>
        <v/>
      </c>
      <c r="BP45" s="18" t="str">
        <f t="shared" si="21"/>
        <v/>
      </c>
      <c r="BQ45" s="16"/>
      <c r="BR45" s="16"/>
      <c r="BS45" s="17"/>
    </row>
    <row r="46" spans="1:71" ht="16.05" customHeight="1" x14ac:dyDescent="0.3">
      <c r="A46" s="16"/>
      <c r="B46" s="16"/>
      <c r="C46" s="17"/>
      <c r="D46" s="17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7" t="str">
        <f t="shared" si="11"/>
        <v/>
      </c>
      <c r="V46" s="17" t="str">
        <f t="shared" si="12"/>
        <v/>
      </c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8" t="str">
        <f>IF($A46="","",ROUND(P46*CONFIGURACION!$B$2+IF(W46&lt;&gt;"",X46*IFERROR(VLOOKUP(W46,'DATOS COSTES POLIAMIDAS'!$A:$G,7,0),0),0)+IF(Y46&lt;&gt;"",Z46*IFERROR(VLOOKUP(Y46,'DATOS COSTES POLIAMIDAS'!$A:$G,7,0),0),0)+IF(AA46&lt;&gt;"",AB46*IFERROR(VLOOKUP(AA46,'DATOS COSTES POLIAMIDAS'!$A:$G,7,0),0),0)+IF(AC46&lt;&gt;"",AD46*IFERROR(VLOOKUP(AC46,'DATOS COSTES POLIAMIDAS'!$A:$G,7,0),0),0)+IF(AE46&lt;&gt;"",IFERROR(VLOOKUP(AE46,'DATOS COSTES MECANIZADOS'!$A:$F,6,0),0),0),4))</f>
        <v/>
      </c>
      <c r="AZ46" s="18" t="str">
        <f>IF($A46="","",ROUND(AY46+R46*CONFIGURACION!$B$6,4))</f>
        <v/>
      </c>
      <c r="BA46" s="18" t="str">
        <f>IF($A46="","",ROUND(AY46+R46*CONFIGURACION!$B$7,4))</f>
        <v/>
      </c>
      <c r="BB46" s="18" t="str">
        <f>IF($A46="","",ROUND(AY46+R46*CONFIGURACION!$B$5,4))</f>
        <v/>
      </c>
      <c r="BC46" s="18" t="str">
        <f>IF($A46="","",ROUND(AY46+R46*CONFIGURACION!$B$10+R46*T46*CONFIGURACION!$B$11,4))</f>
        <v/>
      </c>
      <c r="BD46" s="18" t="str">
        <f>IF($A46="","",ROUND(AY46+R46*CONFIGURACION!$B$8,4))</f>
        <v/>
      </c>
      <c r="BE46" s="18" t="str">
        <f>IF($A46="","",ROUND(AY46+R46*CONFIGURACION!$B$9,4))</f>
        <v/>
      </c>
      <c r="BF46" s="18" t="str">
        <f>IF($A46="","",ROUND(AY46+R46*CONFIGURACION!$B$13,4))</f>
        <v/>
      </c>
      <c r="BG46" s="18" t="str">
        <f>IF($A46="","",ROUND(AY46+R46*CONFIGURACION!$B$12,4))</f>
        <v/>
      </c>
      <c r="BH46" s="18" t="str">
        <f t="shared" si="13"/>
        <v/>
      </c>
      <c r="BI46" s="18" t="str">
        <f t="shared" si="14"/>
        <v/>
      </c>
      <c r="BJ46" s="18" t="str">
        <f t="shared" si="15"/>
        <v/>
      </c>
      <c r="BK46" s="18" t="str">
        <f t="shared" si="16"/>
        <v/>
      </c>
      <c r="BL46" s="18" t="str">
        <f t="shared" si="17"/>
        <v/>
      </c>
      <c r="BM46" s="18" t="str">
        <f t="shared" si="18"/>
        <v/>
      </c>
      <c r="BN46" s="18" t="str">
        <f t="shared" si="19"/>
        <v/>
      </c>
      <c r="BO46" s="18" t="str">
        <f t="shared" si="20"/>
        <v/>
      </c>
      <c r="BP46" s="18" t="str">
        <f t="shared" si="21"/>
        <v/>
      </c>
      <c r="BQ46" s="16"/>
      <c r="BR46" s="16"/>
      <c r="BS46" s="17"/>
    </row>
    <row r="47" spans="1:71" ht="16.05" customHeight="1" x14ac:dyDescent="0.3">
      <c r="A47" s="16"/>
      <c r="B47" s="16"/>
      <c r="C47" s="17"/>
      <c r="D47" s="17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7" t="str">
        <f t="shared" si="11"/>
        <v/>
      </c>
      <c r="V47" s="17" t="str">
        <f t="shared" si="12"/>
        <v/>
      </c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8" t="str">
        <f>IF($A47="","",ROUND(P47*CONFIGURACION!$B$2+IF(W47&lt;&gt;"",X47*IFERROR(VLOOKUP(W47,'DATOS COSTES POLIAMIDAS'!$A:$G,7,0),0),0)+IF(Y47&lt;&gt;"",Z47*IFERROR(VLOOKUP(Y47,'DATOS COSTES POLIAMIDAS'!$A:$G,7,0),0),0)+IF(AA47&lt;&gt;"",AB47*IFERROR(VLOOKUP(AA47,'DATOS COSTES POLIAMIDAS'!$A:$G,7,0),0),0)+IF(AC47&lt;&gt;"",AD47*IFERROR(VLOOKUP(AC47,'DATOS COSTES POLIAMIDAS'!$A:$G,7,0),0),0)+IF(AE47&lt;&gt;"",IFERROR(VLOOKUP(AE47,'DATOS COSTES MECANIZADOS'!$A:$F,6,0),0),0),4))</f>
        <v/>
      </c>
      <c r="AZ47" s="18" t="str">
        <f>IF($A47="","",ROUND(AY47+R47*CONFIGURACION!$B$6,4))</f>
        <v/>
      </c>
      <c r="BA47" s="18" t="str">
        <f>IF($A47="","",ROUND(AY47+R47*CONFIGURACION!$B$7,4))</f>
        <v/>
      </c>
      <c r="BB47" s="18" t="str">
        <f>IF($A47="","",ROUND(AY47+R47*CONFIGURACION!$B$5,4))</f>
        <v/>
      </c>
      <c r="BC47" s="18" t="str">
        <f>IF($A47="","",ROUND(AY47+R47*CONFIGURACION!$B$10+R47*T47*CONFIGURACION!$B$11,4))</f>
        <v/>
      </c>
      <c r="BD47" s="18" t="str">
        <f>IF($A47="","",ROUND(AY47+R47*CONFIGURACION!$B$8,4))</f>
        <v/>
      </c>
      <c r="BE47" s="18" t="str">
        <f>IF($A47="","",ROUND(AY47+R47*CONFIGURACION!$B$9,4))</f>
        <v/>
      </c>
      <c r="BF47" s="18" t="str">
        <f>IF($A47="","",ROUND(AY47+R47*CONFIGURACION!$B$13,4))</f>
        <v/>
      </c>
      <c r="BG47" s="18" t="str">
        <f>IF($A47="","",ROUND(AY47+R47*CONFIGURACION!$B$12,4))</f>
        <v/>
      </c>
      <c r="BH47" s="18" t="str">
        <f t="shared" si="13"/>
        <v/>
      </c>
      <c r="BI47" s="18" t="str">
        <f t="shared" si="14"/>
        <v/>
      </c>
      <c r="BJ47" s="18" t="str">
        <f t="shared" si="15"/>
        <v/>
      </c>
      <c r="BK47" s="18" t="str">
        <f t="shared" si="16"/>
        <v/>
      </c>
      <c r="BL47" s="18" t="str">
        <f t="shared" si="17"/>
        <v/>
      </c>
      <c r="BM47" s="18" t="str">
        <f t="shared" si="18"/>
        <v/>
      </c>
      <c r="BN47" s="18" t="str">
        <f t="shared" si="19"/>
        <v/>
      </c>
      <c r="BO47" s="18" t="str">
        <f t="shared" si="20"/>
        <v/>
      </c>
      <c r="BP47" s="18" t="str">
        <f t="shared" si="21"/>
        <v/>
      </c>
      <c r="BQ47" s="16"/>
      <c r="BR47" s="16"/>
      <c r="BS47" s="17"/>
    </row>
    <row r="48" spans="1:71" ht="16.05" customHeight="1" x14ac:dyDescent="0.3">
      <c r="A48" s="16"/>
      <c r="B48" s="16"/>
      <c r="C48" s="17"/>
      <c r="D48" s="17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7" t="str">
        <f t="shared" si="11"/>
        <v/>
      </c>
      <c r="V48" s="17" t="str">
        <f t="shared" si="12"/>
        <v/>
      </c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8" t="str">
        <f>IF($A48="","",ROUND(P48*CONFIGURACION!$B$2+IF(W48&lt;&gt;"",X48*IFERROR(VLOOKUP(W48,'DATOS COSTES POLIAMIDAS'!$A:$G,7,0),0),0)+IF(Y48&lt;&gt;"",Z48*IFERROR(VLOOKUP(Y48,'DATOS COSTES POLIAMIDAS'!$A:$G,7,0),0),0)+IF(AA48&lt;&gt;"",AB48*IFERROR(VLOOKUP(AA48,'DATOS COSTES POLIAMIDAS'!$A:$G,7,0),0),0)+IF(AC48&lt;&gt;"",AD48*IFERROR(VLOOKUP(AC48,'DATOS COSTES POLIAMIDAS'!$A:$G,7,0),0),0)+IF(AE48&lt;&gt;"",IFERROR(VLOOKUP(AE48,'DATOS COSTES MECANIZADOS'!$A:$F,6,0),0),0),4))</f>
        <v/>
      </c>
      <c r="AZ48" s="18" t="str">
        <f>IF($A48="","",ROUND(AY48+R48*CONFIGURACION!$B$6,4))</f>
        <v/>
      </c>
      <c r="BA48" s="18" t="str">
        <f>IF($A48="","",ROUND(AY48+R48*CONFIGURACION!$B$7,4))</f>
        <v/>
      </c>
      <c r="BB48" s="18" t="str">
        <f>IF($A48="","",ROUND(AY48+R48*CONFIGURACION!$B$5,4))</f>
        <v/>
      </c>
      <c r="BC48" s="18" t="str">
        <f>IF($A48="","",ROUND(AY48+R48*CONFIGURACION!$B$10+R48*T48*CONFIGURACION!$B$11,4))</f>
        <v/>
      </c>
      <c r="BD48" s="18" t="str">
        <f>IF($A48="","",ROUND(AY48+R48*CONFIGURACION!$B$8,4))</f>
        <v/>
      </c>
      <c r="BE48" s="18" t="str">
        <f>IF($A48="","",ROUND(AY48+R48*CONFIGURACION!$B$9,4))</f>
        <v/>
      </c>
      <c r="BF48" s="18" t="str">
        <f>IF($A48="","",ROUND(AY48+R48*CONFIGURACION!$B$13,4))</f>
        <v/>
      </c>
      <c r="BG48" s="18" t="str">
        <f>IF($A48="","",ROUND(AY48+R48*CONFIGURACION!$B$12,4))</f>
        <v/>
      </c>
      <c r="BH48" s="18" t="str">
        <f t="shared" si="13"/>
        <v/>
      </c>
      <c r="BI48" s="18" t="str">
        <f t="shared" si="14"/>
        <v/>
      </c>
      <c r="BJ48" s="18" t="str">
        <f t="shared" si="15"/>
        <v/>
      </c>
      <c r="BK48" s="18" t="str">
        <f t="shared" si="16"/>
        <v/>
      </c>
      <c r="BL48" s="18" t="str">
        <f t="shared" si="17"/>
        <v/>
      </c>
      <c r="BM48" s="18" t="str">
        <f t="shared" si="18"/>
        <v/>
      </c>
      <c r="BN48" s="18" t="str">
        <f t="shared" si="19"/>
        <v/>
      </c>
      <c r="BO48" s="18" t="str">
        <f t="shared" si="20"/>
        <v/>
      </c>
      <c r="BP48" s="18" t="str">
        <f t="shared" si="21"/>
        <v/>
      </c>
      <c r="BQ48" s="16"/>
      <c r="BR48" s="16"/>
      <c r="BS48" s="17"/>
    </row>
    <row r="49" spans="1:71" ht="16.05" customHeight="1" x14ac:dyDescent="0.3">
      <c r="A49" s="16"/>
      <c r="B49" s="16"/>
      <c r="C49" s="17"/>
      <c r="D49" s="17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7" t="str">
        <f t="shared" si="11"/>
        <v/>
      </c>
      <c r="V49" s="17" t="str">
        <f t="shared" si="12"/>
        <v/>
      </c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8" t="str">
        <f>IF($A49="","",ROUND(P49*CONFIGURACION!$B$2+IF(W49&lt;&gt;"",X49*IFERROR(VLOOKUP(W49,'DATOS COSTES POLIAMIDAS'!$A:$G,7,0),0),0)+IF(Y49&lt;&gt;"",Z49*IFERROR(VLOOKUP(Y49,'DATOS COSTES POLIAMIDAS'!$A:$G,7,0),0),0)+IF(AA49&lt;&gt;"",AB49*IFERROR(VLOOKUP(AA49,'DATOS COSTES POLIAMIDAS'!$A:$G,7,0),0),0)+IF(AC49&lt;&gt;"",AD49*IFERROR(VLOOKUP(AC49,'DATOS COSTES POLIAMIDAS'!$A:$G,7,0),0),0)+IF(AE49&lt;&gt;"",IFERROR(VLOOKUP(AE49,'DATOS COSTES MECANIZADOS'!$A:$F,6,0),0),0),4))</f>
        <v/>
      </c>
      <c r="AZ49" s="18" t="str">
        <f>IF($A49="","",ROUND(AY49+R49*CONFIGURACION!$B$6,4))</f>
        <v/>
      </c>
      <c r="BA49" s="18" t="str">
        <f>IF($A49="","",ROUND(AY49+R49*CONFIGURACION!$B$7,4))</f>
        <v/>
      </c>
      <c r="BB49" s="18" t="str">
        <f>IF($A49="","",ROUND(AY49+R49*CONFIGURACION!$B$5,4))</f>
        <v/>
      </c>
      <c r="BC49" s="18" t="str">
        <f>IF($A49="","",ROUND(AY49+R49*CONFIGURACION!$B$10+R49*T49*CONFIGURACION!$B$11,4))</f>
        <v/>
      </c>
      <c r="BD49" s="18" t="str">
        <f>IF($A49="","",ROUND(AY49+R49*CONFIGURACION!$B$8,4))</f>
        <v/>
      </c>
      <c r="BE49" s="18" t="str">
        <f>IF($A49="","",ROUND(AY49+R49*CONFIGURACION!$B$9,4))</f>
        <v/>
      </c>
      <c r="BF49" s="18" t="str">
        <f>IF($A49="","",ROUND(AY49+R49*CONFIGURACION!$B$13,4))</f>
        <v/>
      </c>
      <c r="BG49" s="18" t="str">
        <f>IF($A49="","",ROUND(AY49+R49*CONFIGURACION!$B$12,4))</f>
        <v/>
      </c>
      <c r="BH49" s="18" t="str">
        <f t="shared" si="13"/>
        <v/>
      </c>
      <c r="BI49" s="18" t="str">
        <f t="shared" si="14"/>
        <v/>
      </c>
      <c r="BJ49" s="18" t="str">
        <f t="shared" si="15"/>
        <v/>
      </c>
      <c r="BK49" s="18" t="str">
        <f t="shared" si="16"/>
        <v/>
      </c>
      <c r="BL49" s="18" t="str">
        <f t="shared" si="17"/>
        <v/>
      </c>
      <c r="BM49" s="18" t="str">
        <f t="shared" si="18"/>
        <v/>
      </c>
      <c r="BN49" s="18" t="str">
        <f t="shared" si="19"/>
        <v/>
      </c>
      <c r="BO49" s="18" t="str">
        <f t="shared" si="20"/>
        <v/>
      </c>
      <c r="BP49" s="18" t="str">
        <f t="shared" si="21"/>
        <v/>
      </c>
      <c r="BQ49" s="16"/>
      <c r="BR49" s="16"/>
      <c r="BS49" s="17"/>
    </row>
    <row r="50" spans="1:71" ht="16.05" customHeight="1" x14ac:dyDescent="0.3">
      <c r="A50" s="16"/>
      <c r="B50" s="16"/>
      <c r="C50" s="17"/>
      <c r="D50" s="17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7" t="str">
        <f t="shared" si="11"/>
        <v/>
      </c>
      <c r="V50" s="17" t="str">
        <f t="shared" si="12"/>
        <v/>
      </c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8" t="str">
        <f>IF($A50="","",ROUND(P50*CONFIGURACION!$B$2+IF(W50&lt;&gt;"",X50*IFERROR(VLOOKUP(W50,'DATOS COSTES POLIAMIDAS'!$A:$G,7,0),0),0)+IF(Y50&lt;&gt;"",Z50*IFERROR(VLOOKUP(Y50,'DATOS COSTES POLIAMIDAS'!$A:$G,7,0),0),0)+IF(AA50&lt;&gt;"",AB50*IFERROR(VLOOKUP(AA50,'DATOS COSTES POLIAMIDAS'!$A:$G,7,0),0),0)+IF(AC50&lt;&gt;"",AD50*IFERROR(VLOOKUP(AC50,'DATOS COSTES POLIAMIDAS'!$A:$G,7,0),0),0)+IF(AE50&lt;&gt;"",IFERROR(VLOOKUP(AE50,'DATOS COSTES MECANIZADOS'!$A:$F,6,0),0),0),4))</f>
        <v/>
      </c>
      <c r="AZ50" s="18" t="str">
        <f>IF($A50="","",ROUND(AY50+R50*CONFIGURACION!$B$6,4))</f>
        <v/>
      </c>
      <c r="BA50" s="18" t="str">
        <f>IF($A50="","",ROUND(AY50+R50*CONFIGURACION!$B$7,4))</f>
        <v/>
      </c>
      <c r="BB50" s="18" t="str">
        <f>IF($A50="","",ROUND(AY50+R50*CONFIGURACION!$B$5,4))</f>
        <v/>
      </c>
      <c r="BC50" s="18" t="str">
        <f>IF($A50="","",ROUND(AY50+R50*CONFIGURACION!$B$10+R50*T50*CONFIGURACION!$B$11,4))</f>
        <v/>
      </c>
      <c r="BD50" s="18" t="str">
        <f>IF($A50="","",ROUND(AY50+R50*CONFIGURACION!$B$8,4))</f>
        <v/>
      </c>
      <c r="BE50" s="18" t="str">
        <f>IF($A50="","",ROUND(AY50+R50*CONFIGURACION!$B$9,4))</f>
        <v/>
      </c>
      <c r="BF50" s="18" t="str">
        <f>IF($A50="","",ROUND(AY50+R50*CONFIGURACION!$B$13,4))</f>
        <v/>
      </c>
      <c r="BG50" s="18" t="str">
        <f>IF($A50="","",ROUND(AY50+R50*CONFIGURACION!$B$12,4))</f>
        <v/>
      </c>
      <c r="BH50" s="18" t="str">
        <f t="shared" si="13"/>
        <v/>
      </c>
      <c r="BI50" s="18" t="str">
        <f t="shared" si="14"/>
        <v/>
      </c>
      <c r="BJ50" s="18" t="str">
        <f t="shared" si="15"/>
        <v/>
      </c>
      <c r="BK50" s="18" t="str">
        <f t="shared" si="16"/>
        <v/>
      </c>
      <c r="BL50" s="18" t="str">
        <f t="shared" si="17"/>
        <v/>
      </c>
      <c r="BM50" s="18" t="str">
        <f t="shared" si="18"/>
        <v/>
      </c>
      <c r="BN50" s="18" t="str">
        <f t="shared" si="19"/>
        <v/>
      </c>
      <c r="BO50" s="18" t="str">
        <f t="shared" si="20"/>
        <v/>
      </c>
      <c r="BP50" s="18" t="str">
        <f t="shared" si="21"/>
        <v/>
      </c>
      <c r="BQ50" s="16"/>
      <c r="BR50" s="16"/>
      <c r="BS50" s="17"/>
    </row>
    <row r="51" spans="1:71" ht="16.05" customHeight="1" x14ac:dyDescent="0.3">
      <c r="A51" s="16"/>
      <c r="B51" s="16"/>
      <c r="C51" s="17"/>
      <c r="D51" s="17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7" t="str">
        <f t="shared" si="11"/>
        <v/>
      </c>
      <c r="V51" s="17" t="str">
        <f t="shared" si="12"/>
        <v/>
      </c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8" t="str">
        <f>IF($A51="","",ROUND(P51*CONFIGURACION!$B$2+IF(W51&lt;&gt;"",X51*IFERROR(VLOOKUP(W51,'DATOS COSTES POLIAMIDAS'!$A:$G,7,0),0),0)+IF(Y51&lt;&gt;"",Z51*IFERROR(VLOOKUP(Y51,'DATOS COSTES POLIAMIDAS'!$A:$G,7,0),0),0)+IF(AA51&lt;&gt;"",AB51*IFERROR(VLOOKUP(AA51,'DATOS COSTES POLIAMIDAS'!$A:$G,7,0),0),0)+IF(AC51&lt;&gt;"",AD51*IFERROR(VLOOKUP(AC51,'DATOS COSTES POLIAMIDAS'!$A:$G,7,0),0),0)+IF(AE51&lt;&gt;"",IFERROR(VLOOKUP(AE51,'DATOS COSTES MECANIZADOS'!$A:$F,6,0),0),0),4))</f>
        <v/>
      </c>
      <c r="AZ51" s="18" t="str">
        <f>IF($A51="","",ROUND(AY51+R51*CONFIGURACION!$B$6,4))</f>
        <v/>
      </c>
      <c r="BA51" s="18" t="str">
        <f>IF($A51="","",ROUND(AY51+R51*CONFIGURACION!$B$7,4))</f>
        <v/>
      </c>
      <c r="BB51" s="18" t="str">
        <f>IF($A51="","",ROUND(AY51+R51*CONFIGURACION!$B$5,4))</f>
        <v/>
      </c>
      <c r="BC51" s="18" t="str">
        <f>IF($A51="","",ROUND(AY51+R51*CONFIGURACION!$B$10+R51*T51*CONFIGURACION!$B$11,4))</f>
        <v/>
      </c>
      <c r="BD51" s="18" t="str">
        <f>IF($A51="","",ROUND(AY51+R51*CONFIGURACION!$B$8,4))</f>
        <v/>
      </c>
      <c r="BE51" s="18" t="str">
        <f>IF($A51="","",ROUND(AY51+R51*CONFIGURACION!$B$9,4))</f>
        <v/>
      </c>
      <c r="BF51" s="18" t="str">
        <f>IF($A51="","",ROUND(AY51+R51*CONFIGURACION!$B$13,4))</f>
        <v/>
      </c>
      <c r="BG51" s="18" t="str">
        <f>IF($A51="","",ROUND(AY51+R51*CONFIGURACION!$B$12,4))</f>
        <v/>
      </c>
      <c r="BH51" s="18" t="str">
        <f t="shared" si="13"/>
        <v/>
      </c>
      <c r="BI51" s="18" t="str">
        <f t="shared" si="14"/>
        <v/>
      </c>
      <c r="BJ51" s="18" t="str">
        <f t="shared" si="15"/>
        <v/>
      </c>
      <c r="BK51" s="18" t="str">
        <f t="shared" si="16"/>
        <v/>
      </c>
      <c r="BL51" s="18" t="str">
        <f t="shared" si="17"/>
        <v/>
      </c>
      <c r="BM51" s="18" t="str">
        <f t="shared" si="18"/>
        <v/>
      </c>
      <c r="BN51" s="18" t="str">
        <f t="shared" si="19"/>
        <v/>
      </c>
      <c r="BO51" s="18" t="str">
        <f t="shared" si="20"/>
        <v/>
      </c>
      <c r="BP51" s="18" t="str">
        <f t="shared" si="21"/>
        <v/>
      </c>
      <c r="BQ51" s="16"/>
      <c r="BR51" s="16"/>
      <c r="BS51" s="17"/>
    </row>
    <row r="52" spans="1:71" ht="16.05" customHeight="1" x14ac:dyDescent="0.3">
      <c r="A52" s="16"/>
      <c r="B52" s="16"/>
      <c r="C52" s="17"/>
      <c r="D52" s="17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7" t="str">
        <f t="shared" si="11"/>
        <v/>
      </c>
      <c r="V52" s="17" t="str">
        <f t="shared" si="12"/>
        <v/>
      </c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8" t="str">
        <f>IF($A52="","",ROUND(P52*CONFIGURACION!$B$2+IF(W52&lt;&gt;"",X52*IFERROR(VLOOKUP(W52,'DATOS COSTES POLIAMIDAS'!$A:$G,7,0),0),0)+IF(Y52&lt;&gt;"",Z52*IFERROR(VLOOKUP(Y52,'DATOS COSTES POLIAMIDAS'!$A:$G,7,0),0),0)+IF(AA52&lt;&gt;"",AB52*IFERROR(VLOOKUP(AA52,'DATOS COSTES POLIAMIDAS'!$A:$G,7,0),0),0)+IF(AC52&lt;&gt;"",AD52*IFERROR(VLOOKUP(AC52,'DATOS COSTES POLIAMIDAS'!$A:$G,7,0),0),0)+IF(AE52&lt;&gt;"",IFERROR(VLOOKUP(AE52,'DATOS COSTES MECANIZADOS'!$A:$F,6,0),0),0),4))</f>
        <v/>
      </c>
      <c r="AZ52" s="18" t="str">
        <f>IF($A52="","",ROUND(AY52+R52*CONFIGURACION!$B$6,4))</f>
        <v/>
      </c>
      <c r="BA52" s="18" t="str">
        <f>IF($A52="","",ROUND(AY52+R52*CONFIGURACION!$B$7,4))</f>
        <v/>
      </c>
      <c r="BB52" s="18" t="str">
        <f>IF($A52="","",ROUND(AY52+R52*CONFIGURACION!$B$5,4))</f>
        <v/>
      </c>
      <c r="BC52" s="18" t="str">
        <f>IF($A52="","",ROUND(AY52+R52*CONFIGURACION!$B$10+R52*T52*CONFIGURACION!$B$11,4))</f>
        <v/>
      </c>
      <c r="BD52" s="18" t="str">
        <f>IF($A52="","",ROUND(AY52+R52*CONFIGURACION!$B$8,4))</f>
        <v/>
      </c>
      <c r="BE52" s="18" t="str">
        <f>IF($A52="","",ROUND(AY52+R52*CONFIGURACION!$B$9,4))</f>
        <v/>
      </c>
      <c r="BF52" s="18" t="str">
        <f>IF($A52="","",ROUND(AY52+R52*CONFIGURACION!$B$13,4))</f>
        <v/>
      </c>
      <c r="BG52" s="18" t="str">
        <f>IF($A52="","",ROUND(AY52+R52*CONFIGURACION!$B$12,4))</f>
        <v/>
      </c>
      <c r="BH52" s="18" t="str">
        <f t="shared" si="13"/>
        <v/>
      </c>
      <c r="BI52" s="18" t="str">
        <f t="shared" si="14"/>
        <v/>
      </c>
      <c r="BJ52" s="18" t="str">
        <f t="shared" si="15"/>
        <v/>
      </c>
      <c r="BK52" s="18" t="str">
        <f t="shared" si="16"/>
        <v/>
      </c>
      <c r="BL52" s="18" t="str">
        <f t="shared" si="17"/>
        <v/>
      </c>
      <c r="BM52" s="18" t="str">
        <f t="shared" si="18"/>
        <v/>
      </c>
      <c r="BN52" s="18" t="str">
        <f t="shared" si="19"/>
        <v/>
      </c>
      <c r="BO52" s="18" t="str">
        <f t="shared" si="20"/>
        <v/>
      </c>
      <c r="BP52" s="18" t="str">
        <f t="shared" si="21"/>
        <v/>
      </c>
      <c r="BQ52" s="16"/>
      <c r="BR52" s="16"/>
      <c r="BS52" s="17"/>
    </row>
    <row r="53" spans="1:71" ht="16.05" customHeight="1" x14ac:dyDescent="0.3">
      <c r="A53" s="16"/>
      <c r="B53" s="16"/>
      <c r="C53" s="17"/>
      <c r="D53" s="17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7" t="str">
        <f t="shared" si="11"/>
        <v/>
      </c>
      <c r="V53" s="17" t="str">
        <f t="shared" si="12"/>
        <v/>
      </c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8" t="str">
        <f>IF($A53="","",ROUND(P53*CONFIGURACION!$B$2+IF(W53&lt;&gt;"",X53*IFERROR(VLOOKUP(W53,'DATOS COSTES POLIAMIDAS'!$A:$G,7,0),0),0)+IF(Y53&lt;&gt;"",Z53*IFERROR(VLOOKUP(Y53,'DATOS COSTES POLIAMIDAS'!$A:$G,7,0),0),0)+IF(AA53&lt;&gt;"",AB53*IFERROR(VLOOKUP(AA53,'DATOS COSTES POLIAMIDAS'!$A:$G,7,0),0),0)+IF(AC53&lt;&gt;"",AD53*IFERROR(VLOOKUP(AC53,'DATOS COSTES POLIAMIDAS'!$A:$G,7,0),0),0)+IF(AE53&lt;&gt;"",IFERROR(VLOOKUP(AE53,'DATOS COSTES MECANIZADOS'!$A:$F,6,0),0),0),4))</f>
        <v/>
      </c>
      <c r="AZ53" s="18" t="str">
        <f>IF($A53="","",ROUND(AY53+R53*CONFIGURACION!$B$6,4))</f>
        <v/>
      </c>
      <c r="BA53" s="18" t="str">
        <f>IF($A53="","",ROUND(AY53+R53*CONFIGURACION!$B$7,4))</f>
        <v/>
      </c>
      <c r="BB53" s="18" t="str">
        <f>IF($A53="","",ROUND(AY53+R53*CONFIGURACION!$B$5,4))</f>
        <v/>
      </c>
      <c r="BC53" s="18" t="str">
        <f>IF($A53="","",ROUND(AY53+R53*CONFIGURACION!$B$10+R53*T53*CONFIGURACION!$B$11,4))</f>
        <v/>
      </c>
      <c r="BD53" s="18" t="str">
        <f>IF($A53="","",ROUND(AY53+R53*CONFIGURACION!$B$8,4))</f>
        <v/>
      </c>
      <c r="BE53" s="18" t="str">
        <f>IF($A53="","",ROUND(AY53+R53*CONFIGURACION!$B$9,4))</f>
        <v/>
      </c>
      <c r="BF53" s="18" t="str">
        <f>IF($A53="","",ROUND(AY53+R53*CONFIGURACION!$B$13,4))</f>
        <v/>
      </c>
      <c r="BG53" s="18" t="str">
        <f>IF($A53="","",ROUND(AY53+R53*CONFIGURACION!$B$12,4))</f>
        <v/>
      </c>
      <c r="BH53" s="18" t="str">
        <f t="shared" si="13"/>
        <v/>
      </c>
      <c r="BI53" s="18" t="str">
        <f t="shared" si="14"/>
        <v/>
      </c>
      <c r="BJ53" s="18" t="str">
        <f t="shared" si="15"/>
        <v/>
      </c>
      <c r="BK53" s="18" t="str">
        <f t="shared" si="16"/>
        <v/>
      </c>
      <c r="BL53" s="18" t="str">
        <f t="shared" si="17"/>
        <v/>
      </c>
      <c r="BM53" s="18" t="str">
        <f t="shared" si="18"/>
        <v/>
      </c>
      <c r="BN53" s="18" t="str">
        <f t="shared" si="19"/>
        <v/>
      </c>
      <c r="BO53" s="18" t="str">
        <f t="shared" si="20"/>
        <v/>
      </c>
      <c r="BP53" s="18" t="str">
        <f t="shared" si="21"/>
        <v/>
      </c>
      <c r="BQ53" s="16"/>
      <c r="BR53" s="16"/>
      <c r="BS53" s="17"/>
    </row>
    <row r="54" spans="1:71" ht="16.05" customHeight="1" x14ac:dyDescent="0.3">
      <c r="A54" s="16"/>
      <c r="B54" s="16"/>
      <c r="C54" s="17"/>
      <c r="D54" s="17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7" t="str">
        <f t="shared" si="11"/>
        <v/>
      </c>
      <c r="V54" s="17" t="str">
        <f t="shared" si="12"/>
        <v/>
      </c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8" t="str">
        <f>IF($A54="","",ROUND(P54*CONFIGURACION!$B$2+IF(W54&lt;&gt;"",X54*IFERROR(VLOOKUP(W54,'DATOS COSTES POLIAMIDAS'!$A:$G,7,0),0),0)+IF(Y54&lt;&gt;"",Z54*IFERROR(VLOOKUP(Y54,'DATOS COSTES POLIAMIDAS'!$A:$G,7,0),0),0)+IF(AA54&lt;&gt;"",AB54*IFERROR(VLOOKUP(AA54,'DATOS COSTES POLIAMIDAS'!$A:$G,7,0),0),0)+IF(AC54&lt;&gt;"",AD54*IFERROR(VLOOKUP(AC54,'DATOS COSTES POLIAMIDAS'!$A:$G,7,0),0),0)+IF(AE54&lt;&gt;"",IFERROR(VLOOKUP(AE54,'DATOS COSTES MECANIZADOS'!$A:$F,6,0),0),0),4))</f>
        <v/>
      </c>
      <c r="AZ54" s="18" t="str">
        <f>IF($A54="","",ROUND(AY54+R54*CONFIGURACION!$B$6,4))</f>
        <v/>
      </c>
      <c r="BA54" s="18" t="str">
        <f>IF($A54="","",ROUND(AY54+R54*CONFIGURACION!$B$7,4))</f>
        <v/>
      </c>
      <c r="BB54" s="18" t="str">
        <f>IF($A54="","",ROUND(AY54+R54*CONFIGURACION!$B$5,4))</f>
        <v/>
      </c>
      <c r="BC54" s="18" t="str">
        <f>IF($A54="","",ROUND(AY54+R54*CONFIGURACION!$B$10+R54*T54*CONFIGURACION!$B$11,4))</f>
        <v/>
      </c>
      <c r="BD54" s="18" t="str">
        <f>IF($A54="","",ROUND(AY54+R54*CONFIGURACION!$B$8,4))</f>
        <v/>
      </c>
      <c r="BE54" s="18" t="str">
        <f>IF($A54="","",ROUND(AY54+R54*CONFIGURACION!$B$9,4))</f>
        <v/>
      </c>
      <c r="BF54" s="18" t="str">
        <f>IF($A54="","",ROUND(AY54+R54*CONFIGURACION!$B$13,4))</f>
        <v/>
      </c>
      <c r="BG54" s="18" t="str">
        <f>IF($A54="","",ROUND(AY54+R54*CONFIGURACION!$B$12,4))</f>
        <v/>
      </c>
      <c r="BH54" s="18" t="str">
        <f t="shared" si="13"/>
        <v/>
      </c>
      <c r="BI54" s="18" t="str">
        <f t="shared" si="14"/>
        <v/>
      </c>
      <c r="BJ54" s="18" t="str">
        <f t="shared" si="15"/>
        <v/>
      </c>
      <c r="BK54" s="18" t="str">
        <f t="shared" si="16"/>
        <v/>
      </c>
      <c r="BL54" s="18" t="str">
        <f t="shared" si="17"/>
        <v/>
      </c>
      <c r="BM54" s="18" t="str">
        <f t="shared" si="18"/>
        <v/>
      </c>
      <c r="BN54" s="18" t="str">
        <f t="shared" si="19"/>
        <v/>
      </c>
      <c r="BO54" s="18" t="str">
        <f t="shared" si="20"/>
        <v/>
      </c>
      <c r="BP54" s="18" t="str">
        <f t="shared" si="21"/>
        <v/>
      </c>
      <c r="BQ54" s="16"/>
      <c r="BR54" s="16"/>
      <c r="BS54" s="17"/>
    </row>
    <row r="55" spans="1:71" ht="16.05" customHeight="1" x14ac:dyDescent="0.3">
      <c r="A55" s="16"/>
      <c r="B55" s="16"/>
      <c r="C55" s="17"/>
      <c r="D55" s="17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7" t="str">
        <f t="shared" si="11"/>
        <v/>
      </c>
      <c r="V55" s="17" t="str">
        <f t="shared" si="12"/>
        <v/>
      </c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8" t="str">
        <f>IF($A55="","",ROUND(P55*CONFIGURACION!$B$2+IF(W55&lt;&gt;"",X55*IFERROR(VLOOKUP(W55,'DATOS COSTES POLIAMIDAS'!$A:$G,7,0),0),0)+IF(Y55&lt;&gt;"",Z55*IFERROR(VLOOKUP(Y55,'DATOS COSTES POLIAMIDAS'!$A:$G,7,0),0),0)+IF(AA55&lt;&gt;"",AB55*IFERROR(VLOOKUP(AA55,'DATOS COSTES POLIAMIDAS'!$A:$G,7,0),0),0)+IF(AC55&lt;&gt;"",AD55*IFERROR(VLOOKUP(AC55,'DATOS COSTES POLIAMIDAS'!$A:$G,7,0),0),0)+IF(AE55&lt;&gt;"",IFERROR(VLOOKUP(AE55,'DATOS COSTES MECANIZADOS'!$A:$F,6,0),0),0),4))</f>
        <v/>
      </c>
      <c r="AZ55" s="18" t="str">
        <f>IF($A55="","",ROUND(AY55+R55*CONFIGURACION!$B$6,4))</f>
        <v/>
      </c>
      <c r="BA55" s="18" t="str">
        <f>IF($A55="","",ROUND(AY55+R55*CONFIGURACION!$B$7,4))</f>
        <v/>
      </c>
      <c r="BB55" s="18" t="str">
        <f>IF($A55="","",ROUND(AY55+R55*CONFIGURACION!$B$5,4))</f>
        <v/>
      </c>
      <c r="BC55" s="18" t="str">
        <f>IF($A55="","",ROUND(AY55+R55*CONFIGURACION!$B$10+R55*T55*CONFIGURACION!$B$11,4))</f>
        <v/>
      </c>
      <c r="BD55" s="18" t="str">
        <f>IF($A55="","",ROUND(AY55+R55*CONFIGURACION!$B$8,4))</f>
        <v/>
      </c>
      <c r="BE55" s="18" t="str">
        <f>IF($A55="","",ROUND(AY55+R55*CONFIGURACION!$B$9,4))</f>
        <v/>
      </c>
      <c r="BF55" s="18" t="str">
        <f>IF($A55="","",ROUND(AY55+R55*CONFIGURACION!$B$13,4))</f>
        <v/>
      </c>
      <c r="BG55" s="18" t="str">
        <f>IF($A55="","",ROUND(AY55+R55*CONFIGURACION!$B$12,4))</f>
        <v/>
      </c>
      <c r="BH55" s="18" t="str">
        <f t="shared" si="13"/>
        <v/>
      </c>
      <c r="BI55" s="18" t="str">
        <f t="shared" si="14"/>
        <v/>
      </c>
      <c r="BJ55" s="18" t="str">
        <f t="shared" si="15"/>
        <v/>
      </c>
      <c r="BK55" s="18" t="str">
        <f t="shared" si="16"/>
        <v/>
      </c>
      <c r="BL55" s="18" t="str">
        <f t="shared" si="17"/>
        <v/>
      </c>
      <c r="BM55" s="18" t="str">
        <f t="shared" si="18"/>
        <v/>
      </c>
      <c r="BN55" s="18" t="str">
        <f t="shared" si="19"/>
        <v/>
      </c>
      <c r="BO55" s="18" t="str">
        <f t="shared" si="20"/>
        <v/>
      </c>
      <c r="BP55" s="18" t="str">
        <f t="shared" si="21"/>
        <v/>
      </c>
      <c r="BQ55" s="16"/>
      <c r="BR55" s="16"/>
      <c r="BS55" s="17"/>
    </row>
    <row r="56" spans="1:71" ht="16.05" customHeight="1" x14ac:dyDescent="0.3">
      <c r="A56" s="16"/>
      <c r="B56" s="16"/>
      <c r="C56" s="17"/>
      <c r="D56" s="17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7" t="str">
        <f t="shared" si="11"/>
        <v/>
      </c>
      <c r="V56" s="17" t="str">
        <f t="shared" si="12"/>
        <v/>
      </c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8" t="str">
        <f>IF($A56="","",ROUND(P56*CONFIGURACION!$B$2+IF(W56&lt;&gt;"",X56*IFERROR(VLOOKUP(W56,'DATOS COSTES POLIAMIDAS'!$A:$G,7,0),0),0)+IF(Y56&lt;&gt;"",Z56*IFERROR(VLOOKUP(Y56,'DATOS COSTES POLIAMIDAS'!$A:$G,7,0),0),0)+IF(AA56&lt;&gt;"",AB56*IFERROR(VLOOKUP(AA56,'DATOS COSTES POLIAMIDAS'!$A:$G,7,0),0),0)+IF(AC56&lt;&gt;"",AD56*IFERROR(VLOOKUP(AC56,'DATOS COSTES POLIAMIDAS'!$A:$G,7,0),0),0)+IF(AE56&lt;&gt;"",IFERROR(VLOOKUP(AE56,'DATOS COSTES MECANIZADOS'!$A:$F,6,0),0),0),4))</f>
        <v/>
      </c>
      <c r="AZ56" s="18" t="str">
        <f>IF($A56="","",ROUND(AY56+R56*CONFIGURACION!$B$6,4))</f>
        <v/>
      </c>
      <c r="BA56" s="18" t="str">
        <f>IF($A56="","",ROUND(AY56+R56*CONFIGURACION!$B$7,4))</f>
        <v/>
      </c>
      <c r="BB56" s="18" t="str">
        <f>IF($A56="","",ROUND(AY56+R56*CONFIGURACION!$B$5,4))</f>
        <v/>
      </c>
      <c r="BC56" s="18" t="str">
        <f>IF($A56="","",ROUND(AY56+R56*CONFIGURACION!$B$10+R56*T56*CONFIGURACION!$B$11,4))</f>
        <v/>
      </c>
      <c r="BD56" s="18" t="str">
        <f>IF($A56="","",ROUND(AY56+R56*CONFIGURACION!$B$8,4))</f>
        <v/>
      </c>
      <c r="BE56" s="18" t="str">
        <f>IF($A56="","",ROUND(AY56+R56*CONFIGURACION!$B$9,4))</f>
        <v/>
      </c>
      <c r="BF56" s="18" t="str">
        <f>IF($A56="","",ROUND(AY56+R56*CONFIGURACION!$B$13,4))</f>
        <v/>
      </c>
      <c r="BG56" s="18" t="str">
        <f>IF($A56="","",ROUND(AY56+R56*CONFIGURACION!$B$12,4))</f>
        <v/>
      </c>
      <c r="BH56" s="18" t="str">
        <f t="shared" si="13"/>
        <v/>
      </c>
      <c r="BI56" s="18" t="str">
        <f t="shared" si="14"/>
        <v/>
      </c>
      <c r="BJ56" s="18" t="str">
        <f t="shared" si="15"/>
        <v/>
      </c>
      <c r="BK56" s="18" t="str">
        <f t="shared" si="16"/>
        <v/>
      </c>
      <c r="BL56" s="18" t="str">
        <f t="shared" si="17"/>
        <v/>
      </c>
      <c r="BM56" s="18" t="str">
        <f t="shared" si="18"/>
        <v/>
      </c>
      <c r="BN56" s="18" t="str">
        <f t="shared" si="19"/>
        <v/>
      </c>
      <c r="BO56" s="18" t="str">
        <f t="shared" si="20"/>
        <v/>
      </c>
      <c r="BP56" s="18" t="str">
        <f t="shared" si="21"/>
        <v/>
      </c>
      <c r="BQ56" s="16"/>
      <c r="BR56" s="16"/>
      <c r="BS56" s="17"/>
    </row>
    <row r="57" spans="1:71" ht="16.05" customHeight="1" x14ac:dyDescent="0.3">
      <c r="A57" s="16"/>
      <c r="B57" s="16"/>
      <c r="C57" s="17"/>
      <c r="D57" s="17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7" t="str">
        <f t="shared" si="11"/>
        <v/>
      </c>
      <c r="V57" s="17" t="str">
        <f t="shared" si="12"/>
        <v/>
      </c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8" t="str">
        <f>IF($A57="","",ROUND(P57*CONFIGURACION!$B$2+IF(W57&lt;&gt;"",X57*IFERROR(VLOOKUP(W57,'DATOS COSTES POLIAMIDAS'!$A:$G,7,0),0),0)+IF(Y57&lt;&gt;"",Z57*IFERROR(VLOOKUP(Y57,'DATOS COSTES POLIAMIDAS'!$A:$G,7,0),0),0)+IF(AA57&lt;&gt;"",AB57*IFERROR(VLOOKUP(AA57,'DATOS COSTES POLIAMIDAS'!$A:$G,7,0),0),0)+IF(AC57&lt;&gt;"",AD57*IFERROR(VLOOKUP(AC57,'DATOS COSTES POLIAMIDAS'!$A:$G,7,0),0),0)+IF(AE57&lt;&gt;"",IFERROR(VLOOKUP(AE57,'DATOS COSTES MECANIZADOS'!$A:$F,6,0),0),0),4))</f>
        <v/>
      </c>
      <c r="AZ57" s="18" t="str">
        <f>IF($A57="","",ROUND(AY57+R57*CONFIGURACION!$B$6,4))</f>
        <v/>
      </c>
      <c r="BA57" s="18" t="str">
        <f>IF($A57="","",ROUND(AY57+R57*CONFIGURACION!$B$7,4))</f>
        <v/>
      </c>
      <c r="BB57" s="18" t="str">
        <f>IF($A57="","",ROUND(AY57+R57*CONFIGURACION!$B$5,4))</f>
        <v/>
      </c>
      <c r="BC57" s="18" t="str">
        <f>IF($A57="","",ROUND(AY57+R57*CONFIGURACION!$B$10+R57*T57*CONFIGURACION!$B$11,4))</f>
        <v/>
      </c>
      <c r="BD57" s="18" t="str">
        <f>IF($A57="","",ROUND(AY57+R57*CONFIGURACION!$B$8,4))</f>
        <v/>
      </c>
      <c r="BE57" s="18" t="str">
        <f>IF($A57="","",ROUND(AY57+R57*CONFIGURACION!$B$9,4))</f>
        <v/>
      </c>
      <c r="BF57" s="18" t="str">
        <f>IF($A57="","",ROUND(AY57+R57*CONFIGURACION!$B$13,4))</f>
        <v/>
      </c>
      <c r="BG57" s="18" t="str">
        <f>IF($A57="","",ROUND(AY57+R57*CONFIGURACION!$B$12,4))</f>
        <v/>
      </c>
      <c r="BH57" s="18" t="str">
        <f t="shared" si="13"/>
        <v/>
      </c>
      <c r="BI57" s="18" t="str">
        <f t="shared" si="14"/>
        <v/>
      </c>
      <c r="BJ57" s="18" t="str">
        <f t="shared" si="15"/>
        <v/>
      </c>
      <c r="BK57" s="18" t="str">
        <f t="shared" si="16"/>
        <v/>
      </c>
      <c r="BL57" s="18" t="str">
        <f t="shared" si="17"/>
        <v/>
      </c>
      <c r="BM57" s="18" t="str">
        <f t="shared" si="18"/>
        <v/>
      </c>
      <c r="BN57" s="18" t="str">
        <f t="shared" si="19"/>
        <v/>
      </c>
      <c r="BO57" s="18" t="str">
        <f t="shared" si="20"/>
        <v/>
      </c>
      <c r="BP57" s="18" t="str">
        <f t="shared" si="21"/>
        <v/>
      </c>
      <c r="BQ57" s="16"/>
      <c r="BR57" s="16"/>
      <c r="BS57" s="17"/>
    </row>
    <row r="58" spans="1:71" ht="16.05" customHeight="1" x14ac:dyDescent="0.3">
      <c r="A58" s="16"/>
      <c r="B58" s="16"/>
      <c r="C58" s="17"/>
      <c r="D58" s="17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7" t="str">
        <f t="shared" si="11"/>
        <v/>
      </c>
      <c r="V58" s="17" t="str">
        <f t="shared" si="12"/>
        <v/>
      </c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8" t="str">
        <f>IF($A58="","",ROUND(P58*CONFIGURACION!$B$2+IF(W58&lt;&gt;"",X58*IFERROR(VLOOKUP(W58,'DATOS COSTES POLIAMIDAS'!$A:$G,7,0),0),0)+IF(Y58&lt;&gt;"",Z58*IFERROR(VLOOKUP(Y58,'DATOS COSTES POLIAMIDAS'!$A:$G,7,0),0),0)+IF(AA58&lt;&gt;"",AB58*IFERROR(VLOOKUP(AA58,'DATOS COSTES POLIAMIDAS'!$A:$G,7,0),0),0)+IF(AC58&lt;&gt;"",AD58*IFERROR(VLOOKUP(AC58,'DATOS COSTES POLIAMIDAS'!$A:$G,7,0),0),0)+IF(AE58&lt;&gt;"",IFERROR(VLOOKUP(AE58,'DATOS COSTES MECANIZADOS'!$A:$F,6,0),0),0),4))</f>
        <v/>
      </c>
      <c r="AZ58" s="18" t="str">
        <f>IF($A58="","",ROUND(AY58+R58*CONFIGURACION!$B$6,4))</f>
        <v/>
      </c>
      <c r="BA58" s="18" t="str">
        <f>IF($A58="","",ROUND(AY58+R58*CONFIGURACION!$B$7,4))</f>
        <v/>
      </c>
      <c r="BB58" s="18" t="str">
        <f>IF($A58="","",ROUND(AY58+R58*CONFIGURACION!$B$5,4))</f>
        <v/>
      </c>
      <c r="BC58" s="18" t="str">
        <f>IF($A58="","",ROUND(AY58+R58*CONFIGURACION!$B$10+R58*T58*CONFIGURACION!$B$11,4))</f>
        <v/>
      </c>
      <c r="BD58" s="18" t="str">
        <f>IF($A58="","",ROUND(AY58+R58*CONFIGURACION!$B$8,4))</f>
        <v/>
      </c>
      <c r="BE58" s="18" t="str">
        <f>IF($A58="","",ROUND(AY58+R58*CONFIGURACION!$B$9,4))</f>
        <v/>
      </c>
      <c r="BF58" s="18" t="str">
        <f>IF($A58="","",ROUND(AY58+R58*CONFIGURACION!$B$13,4))</f>
        <v/>
      </c>
      <c r="BG58" s="18" t="str">
        <f>IF($A58="","",ROUND(AY58+R58*CONFIGURACION!$B$12,4))</f>
        <v/>
      </c>
      <c r="BH58" s="18" t="str">
        <f t="shared" si="13"/>
        <v/>
      </c>
      <c r="BI58" s="18" t="str">
        <f t="shared" si="14"/>
        <v/>
      </c>
      <c r="BJ58" s="18" t="str">
        <f t="shared" si="15"/>
        <v/>
      </c>
      <c r="BK58" s="18" t="str">
        <f t="shared" si="16"/>
        <v/>
      </c>
      <c r="BL58" s="18" t="str">
        <f t="shared" si="17"/>
        <v/>
      </c>
      <c r="BM58" s="18" t="str">
        <f t="shared" si="18"/>
        <v/>
      </c>
      <c r="BN58" s="18" t="str">
        <f t="shared" si="19"/>
        <v/>
      </c>
      <c r="BO58" s="18" t="str">
        <f t="shared" si="20"/>
        <v/>
      </c>
      <c r="BP58" s="18" t="str">
        <f t="shared" si="21"/>
        <v/>
      </c>
      <c r="BQ58" s="16"/>
      <c r="BR58" s="16"/>
      <c r="BS58" s="17"/>
    </row>
    <row r="59" spans="1:71" ht="16.05" customHeight="1" x14ac:dyDescent="0.3">
      <c r="A59" s="16"/>
      <c r="B59" s="16"/>
      <c r="C59" s="17"/>
      <c r="D59" s="17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7" t="str">
        <f t="shared" si="11"/>
        <v/>
      </c>
      <c r="V59" s="17" t="str">
        <f t="shared" si="12"/>
        <v/>
      </c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8" t="str">
        <f>IF($A59="","",ROUND(P59*CONFIGURACION!$B$2+IF(W59&lt;&gt;"",X59*IFERROR(VLOOKUP(W59,'DATOS COSTES POLIAMIDAS'!$A:$G,7,0),0),0)+IF(Y59&lt;&gt;"",Z59*IFERROR(VLOOKUP(Y59,'DATOS COSTES POLIAMIDAS'!$A:$G,7,0),0),0)+IF(AA59&lt;&gt;"",AB59*IFERROR(VLOOKUP(AA59,'DATOS COSTES POLIAMIDAS'!$A:$G,7,0),0),0)+IF(AC59&lt;&gt;"",AD59*IFERROR(VLOOKUP(AC59,'DATOS COSTES POLIAMIDAS'!$A:$G,7,0),0),0)+IF(AE59&lt;&gt;"",IFERROR(VLOOKUP(AE59,'DATOS COSTES MECANIZADOS'!$A:$F,6,0),0),0),4))</f>
        <v/>
      </c>
      <c r="AZ59" s="18" t="str">
        <f>IF($A59="","",ROUND(AY59+R59*CONFIGURACION!$B$6,4))</f>
        <v/>
      </c>
      <c r="BA59" s="18" t="str">
        <f>IF($A59="","",ROUND(AY59+R59*CONFIGURACION!$B$7,4))</f>
        <v/>
      </c>
      <c r="BB59" s="18" t="str">
        <f>IF($A59="","",ROUND(AY59+R59*CONFIGURACION!$B$5,4))</f>
        <v/>
      </c>
      <c r="BC59" s="18" t="str">
        <f>IF($A59="","",ROUND(AY59+R59*CONFIGURACION!$B$10+R59*T59*CONFIGURACION!$B$11,4))</f>
        <v/>
      </c>
      <c r="BD59" s="18" t="str">
        <f>IF($A59="","",ROUND(AY59+R59*CONFIGURACION!$B$8,4))</f>
        <v/>
      </c>
      <c r="BE59" s="18" t="str">
        <f>IF($A59="","",ROUND(AY59+R59*CONFIGURACION!$B$9,4))</f>
        <v/>
      </c>
      <c r="BF59" s="18" t="str">
        <f>IF($A59="","",ROUND(AY59+R59*CONFIGURACION!$B$13,4))</f>
        <v/>
      </c>
      <c r="BG59" s="18" t="str">
        <f>IF($A59="","",ROUND(AY59+R59*CONFIGURACION!$B$12,4))</f>
        <v/>
      </c>
      <c r="BH59" s="18" t="str">
        <f t="shared" si="13"/>
        <v/>
      </c>
      <c r="BI59" s="18" t="str">
        <f t="shared" si="14"/>
        <v/>
      </c>
      <c r="BJ59" s="18" t="str">
        <f t="shared" si="15"/>
        <v/>
      </c>
      <c r="BK59" s="18" t="str">
        <f t="shared" si="16"/>
        <v/>
      </c>
      <c r="BL59" s="18" t="str">
        <f t="shared" si="17"/>
        <v/>
      </c>
      <c r="BM59" s="18" t="str">
        <f t="shared" si="18"/>
        <v/>
      </c>
      <c r="BN59" s="18" t="str">
        <f t="shared" si="19"/>
        <v/>
      </c>
      <c r="BO59" s="18" t="str">
        <f t="shared" si="20"/>
        <v/>
      </c>
      <c r="BP59" s="18" t="str">
        <f t="shared" si="21"/>
        <v/>
      </c>
      <c r="BQ59" s="16"/>
      <c r="BR59" s="16"/>
      <c r="BS59" s="17"/>
    </row>
    <row r="60" spans="1:71" ht="16.05" customHeight="1" x14ac:dyDescent="0.3">
      <c r="A60" s="16"/>
      <c r="B60" s="16"/>
      <c r="C60" s="17"/>
      <c r="D60" s="17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7" t="str">
        <f t="shared" si="11"/>
        <v/>
      </c>
      <c r="V60" s="17" t="str">
        <f t="shared" si="12"/>
        <v/>
      </c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8" t="str">
        <f>IF($A60="","",ROUND(P60*CONFIGURACION!$B$2+IF(W60&lt;&gt;"",X60*IFERROR(VLOOKUP(W60,'DATOS COSTES POLIAMIDAS'!$A:$G,7,0),0),0)+IF(Y60&lt;&gt;"",Z60*IFERROR(VLOOKUP(Y60,'DATOS COSTES POLIAMIDAS'!$A:$G,7,0),0),0)+IF(AA60&lt;&gt;"",AB60*IFERROR(VLOOKUP(AA60,'DATOS COSTES POLIAMIDAS'!$A:$G,7,0),0),0)+IF(AC60&lt;&gt;"",AD60*IFERROR(VLOOKUP(AC60,'DATOS COSTES POLIAMIDAS'!$A:$G,7,0),0),0)+IF(AE60&lt;&gt;"",IFERROR(VLOOKUP(AE60,'DATOS COSTES MECANIZADOS'!$A:$F,6,0),0),0),4))</f>
        <v/>
      </c>
      <c r="AZ60" s="18" t="str">
        <f>IF($A60="","",ROUND(AY60+R60*CONFIGURACION!$B$6,4))</f>
        <v/>
      </c>
      <c r="BA60" s="18" t="str">
        <f>IF($A60="","",ROUND(AY60+R60*CONFIGURACION!$B$7,4))</f>
        <v/>
      </c>
      <c r="BB60" s="18" t="str">
        <f>IF($A60="","",ROUND(AY60+R60*CONFIGURACION!$B$5,4))</f>
        <v/>
      </c>
      <c r="BC60" s="18" t="str">
        <f>IF($A60="","",ROUND(AY60+R60*CONFIGURACION!$B$10+R60*T60*CONFIGURACION!$B$11,4))</f>
        <v/>
      </c>
      <c r="BD60" s="18" t="str">
        <f>IF($A60="","",ROUND(AY60+R60*CONFIGURACION!$B$8,4))</f>
        <v/>
      </c>
      <c r="BE60" s="18" t="str">
        <f>IF($A60="","",ROUND(AY60+R60*CONFIGURACION!$B$9,4))</f>
        <v/>
      </c>
      <c r="BF60" s="18" t="str">
        <f>IF($A60="","",ROUND(AY60+R60*CONFIGURACION!$B$13,4))</f>
        <v/>
      </c>
      <c r="BG60" s="18" t="str">
        <f>IF($A60="","",ROUND(AY60+R60*CONFIGURACION!$B$12,4))</f>
        <v/>
      </c>
      <c r="BH60" s="18" t="str">
        <f t="shared" si="13"/>
        <v/>
      </c>
      <c r="BI60" s="18" t="str">
        <f t="shared" si="14"/>
        <v/>
      </c>
      <c r="BJ60" s="18" t="str">
        <f t="shared" si="15"/>
        <v/>
      </c>
      <c r="BK60" s="18" t="str">
        <f t="shared" si="16"/>
        <v/>
      </c>
      <c r="BL60" s="18" t="str">
        <f t="shared" si="17"/>
        <v/>
      </c>
      <c r="BM60" s="18" t="str">
        <f t="shared" si="18"/>
        <v/>
      </c>
      <c r="BN60" s="18" t="str">
        <f t="shared" si="19"/>
        <v/>
      </c>
      <c r="BO60" s="18" t="str">
        <f t="shared" si="20"/>
        <v/>
      </c>
      <c r="BP60" s="18" t="str">
        <f t="shared" si="21"/>
        <v/>
      </c>
      <c r="BQ60" s="16"/>
      <c r="BR60" s="16"/>
      <c r="BS60" s="17"/>
    </row>
    <row r="61" spans="1:71" ht="16.05" customHeight="1" x14ac:dyDescent="0.3">
      <c r="A61" s="16"/>
      <c r="B61" s="16"/>
      <c r="C61" s="17"/>
      <c r="D61" s="17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7" t="str">
        <f t="shared" si="11"/>
        <v/>
      </c>
      <c r="V61" s="17" t="str">
        <f t="shared" si="12"/>
        <v/>
      </c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8" t="str">
        <f>IF($A61="","",ROUND(P61*CONFIGURACION!$B$2+IF(W61&lt;&gt;"",X61*IFERROR(VLOOKUP(W61,'DATOS COSTES POLIAMIDAS'!$A:$G,7,0),0),0)+IF(Y61&lt;&gt;"",Z61*IFERROR(VLOOKUP(Y61,'DATOS COSTES POLIAMIDAS'!$A:$G,7,0),0),0)+IF(AA61&lt;&gt;"",AB61*IFERROR(VLOOKUP(AA61,'DATOS COSTES POLIAMIDAS'!$A:$G,7,0),0),0)+IF(AC61&lt;&gt;"",AD61*IFERROR(VLOOKUP(AC61,'DATOS COSTES POLIAMIDAS'!$A:$G,7,0),0),0)+IF(AE61&lt;&gt;"",IFERROR(VLOOKUP(AE61,'DATOS COSTES MECANIZADOS'!$A:$F,6,0),0),0),4))</f>
        <v/>
      </c>
      <c r="AZ61" s="18" t="str">
        <f>IF($A61="","",ROUND(AY61+R61*CONFIGURACION!$B$6,4))</f>
        <v/>
      </c>
      <c r="BA61" s="18" t="str">
        <f>IF($A61="","",ROUND(AY61+R61*CONFIGURACION!$B$7,4))</f>
        <v/>
      </c>
      <c r="BB61" s="18" t="str">
        <f>IF($A61="","",ROUND(AY61+R61*CONFIGURACION!$B$5,4))</f>
        <v/>
      </c>
      <c r="BC61" s="18" t="str">
        <f>IF($A61="","",ROUND(AY61+R61*CONFIGURACION!$B$10+R61*T61*CONFIGURACION!$B$11,4))</f>
        <v/>
      </c>
      <c r="BD61" s="18" t="str">
        <f>IF($A61="","",ROUND(AY61+R61*CONFIGURACION!$B$8,4))</f>
        <v/>
      </c>
      <c r="BE61" s="18" t="str">
        <f>IF($A61="","",ROUND(AY61+R61*CONFIGURACION!$B$9,4))</f>
        <v/>
      </c>
      <c r="BF61" s="18" t="str">
        <f>IF($A61="","",ROUND(AY61+R61*CONFIGURACION!$B$13,4))</f>
        <v/>
      </c>
      <c r="BG61" s="18" t="str">
        <f>IF($A61="","",ROUND(AY61+R61*CONFIGURACION!$B$12,4))</f>
        <v/>
      </c>
      <c r="BH61" s="18" t="str">
        <f t="shared" si="13"/>
        <v/>
      </c>
      <c r="BI61" s="18" t="str">
        <f t="shared" si="14"/>
        <v/>
      </c>
      <c r="BJ61" s="18" t="str">
        <f t="shared" si="15"/>
        <v/>
      </c>
      <c r="BK61" s="18" t="str">
        <f t="shared" si="16"/>
        <v/>
      </c>
      <c r="BL61" s="18" t="str">
        <f t="shared" si="17"/>
        <v/>
      </c>
      <c r="BM61" s="18" t="str">
        <f t="shared" si="18"/>
        <v/>
      </c>
      <c r="BN61" s="18" t="str">
        <f t="shared" si="19"/>
        <v/>
      </c>
      <c r="BO61" s="18" t="str">
        <f t="shared" si="20"/>
        <v/>
      </c>
      <c r="BP61" s="18" t="str">
        <f t="shared" si="21"/>
        <v/>
      </c>
      <c r="BQ61" s="16"/>
      <c r="BR61" s="16"/>
      <c r="BS61" s="17"/>
    </row>
    <row r="62" spans="1:71" ht="16.05" customHeight="1" x14ac:dyDescent="0.3">
      <c r="A62" s="16"/>
      <c r="B62" s="16"/>
      <c r="C62" s="17"/>
      <c r="D62" s="17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7" t="str">
        <f t="shared" si="11"/>
        <v/>
      </c>
      <c r="V62" s="17" t="str">
        <f t="shared" si="12"/>
        <v/>
      </c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8" t="str">
        <f>IF($A62="","",ROUND(P62*CONFIGURACION!$B$2+IF(W62&lt;&gt;"",X62*IFERROR(VLOOKUP(W62,'DATOS COSTES POLIAMIDAS'!$A:$G,7,0),0),0)+IF(Y62&lt;&gt;"",Z62*IFERROR(VLOOKUP(Y62,'DATOS COSTES POLIAMIDAS'!$A:$G,7,0),0),0)+IF(AA62&lt;&gt;"",AB62*IFERROR(VLOOKUP(AA62,'DATOS COSTES POLIAMIDAS'!$A:$G,7,0),0),0)+IF(AC62&lt;&gt;"",AD62*IFERROR(VLOOKUP(AC62,'DATOS COSTES POLIAMIDAS'!$A:$G,7,0),0),0)+IF(AE62&lt;&gt;"",IFERROR(VLOOKUP(AE62,'DATOS COSTES MECANIZADOS'!$A:$F,6,0),0),0),4))</f>
        <v/>
      </c>
      <c r="AZ62" s="18" t="str">
        <f>IF($A62="","",ROUND(AY62+R62*CONFIGURACION!$B$6,4))</f>
        <v/>
      </c>
      <c r="BA62" s="18" t="str">
        <f>IF($A62="","",ROUND(AY62+R62*CONFIGURACION!$B$7,4))</f>
        <v/>
      </c>
      <c r="BB62" s="18" t="str">
        <f>IF($A62="","",ROUND(AY62+R62*CONFIGURACION!$B$5,4))</f>
        <v/>
      </c>
      <c r="BC62" s="18" t="str">
        <f>IF($A62="","",ROUND(AY62+R62*CONFIGURACION!$B$10+R62*T62*CONFIGURACION!$B$11,4))</f>
        <v/>
      </c>
      <c r="BD62" s="18" t="str">
        <f>IF($A62="","",ROUND(AY62+R62*CONFIGURACION!$B$8,4))</f>
        <v/>
      </c>
      <c r="BE62" s="18" t="str">
        <f>IF($A62="","",ROUND(AY62+R62*CONFIGURACION!$B$9,4))</f>
        <v/>
      </c>
      <c r="BF62" s="18" t="str">
        <f>IF($A62="","",ROUND(AY62+R62*CONFIGURACION!$B$13,4))</f>
        <v/>
      </c>
      <c r="BG62" s="18" t="str">
        <f>IF($A62="","",ROUND(AY62+R62*CONFIGURACION!$B$12,4))</f>
        <v/>
      </c>
      <c r="BH62" s="18" t="str">
        <f t="shared" si="13"/>
        <v/>
      </c>
      <c r="BI62" s="18" t="str">
        <f t="shared" si="14"/>
        <v/>
      </c>
      <c r="BJ62" s="18" t="str">
        <f t="shared" si="15"/>
        <v/>
      </c>
      <c r="BK62" s="18" t="str">
        <f t="shared" si="16"/>
        <v/>
      </c>
      <c r="BL62" s="18" t="str">
        <f t="shared" si="17"/>
        <v/>
      </c>
      <c r="BM62" s="18" t="str">
        <f t="shared" si="18"/>
        <v/>
      </c>
      <c r="BN62" s="18" t="str">
        <f t="shared" si="19"/>
        <v/>
      </c>
      <c r="BO62" s="18" t="str">
        <f t="shared" si="20"/>
        <v/>
      </c>
      <c r="BP62" s="18" t="str">
        <f t="shared" si="21"/>
        <v/>
      </c>
      <c r="BQ62" s="16"/>
      <c r="BR62" s="16"/>
      <c r="BS62" s="17"/>
    </row>
    <row r="63" spans="1:71" ht="16.05" customHeight="1" x14ac:dyDescent="0.3">
      <c r="A63" s="16"/>
      <c r="B63" s="16"/>
      <c r="C63" s="17"/>
      <c r="D63" s="17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7" t="str">
        <f t="shared" si="11"/>
        <v/>
      </c>
      <c r="V63" s="17" t="str">
        <f t="shared" si="12"/>
        <v/>
      </c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8" t="str">
        <f>IF($A63="","",ROUND(P63*CONFIGURACION!$B$2+IF(W63&lt;&gt;"",X63*IFERROR(VLOOKUP(W63,'DATOS COSTES POLIAMIDAS'!$A:$G,7,0),0),0)+IF(Y63&lt;&gt;"",Z63*IFERROR(VLOOKUP(Y63,'DATOS COSTES POLIAMIDAS'!$A:$G,7,0),0),0)+IF(AA63&lt;&gt;"",AB63*IFERROR(VLOOKUP(AA63,'DATOS COSTES POLIAMIDAS'!$A:$G,7,0),0),0)+IF(AC63&lt;&gt;"",AD63*IFERROR(VLOOKUP(AC63,'DATOS COSTES POLIAMIDAS'!$A:$G,7,0),0),0)+IF(AE63&lt;&gt;"",IFERROR(VLOOKUP(AE63,'DATOS COSTES MECANIZADOS'!$A:$F,6,0),0),0),4))</f>
        <v/>
      </c>
      <c r="AZ63" s="18" t="str">
        <f>IF($A63="","",ROUND(AY63+R63*CONFIGURACION!$B$6,4))</f>
        <v/>
      </c>
      <c r="BA63" s="18" t="str">
        <f>IF($A63="","",ROUND(AY63+R63*CONFIGURACION!$B$7,4))</f>
        <v/>
      </c>
      <c r="BB63" s="18" t="str">
        <f>IF($A63="","",ROUND(AY63+R63*CONFIGURACION!$B$5,4))</f>
        <v/>
      </c>
      <c r="BC63" s="18" t="str">
        <f>IF($A63="","",ROUND(AY63+R63*CONFIGURACION!$B$10+R63*T63*CONFIGURACION!$B$11,4))</f>
        <v/>
      </c>
      <c r="BD63" s="18" t="str">
        <f>IF($A63="","",ROUND(AY63+R63*CONFIGURACION!$B$8,4))</f>
        <v/>
      </c>
      <c r="BE63" s="18" t="str">
        <f>IF($A63="","",ROUND(AY63+R63*CONFIGURACION!$B$9,4))</f>
        <v/>
      </c>
      <c r="BF63" s="18" t="str">
        <f>IF($A63="","",ROUND(AY63+R63*CONFIGURACION!$B$13,4))</f>
        <v/>
      </c>
      <c r="BG63" s="18" t="str">
        <f>IF($A63="","",ROUND(AY63+R63*CONFIGURACION!$B$12,4))</f>
        <v/>
      </c>
      <c r="BH63" s="18" t="str">
        <f t="shared" si="13"/>
        <v/>
      </c>
      <c r="BI63" s="18" t="str">
        <f t="shared" si="14"/>
        <v/>
      </c>
      <c r="BJ63" s="18" t="str">
        <f t="shared" si="15"/>
        <v/>
      </c>
      <c r="BK63" s="18" t="str">
        <f t="shared" si="16"/>
        <v/>
      </c>
      <c r="BL63" s="18" t="str">
        <f t="shared" si="17"/>
        <v/>
      </c>
      <c r="BM63" s="18" t="str">
        <f t="shared" si="18"/>
        <v/>
      </c>
      <c r="BN63" s="18" t="str">
        <f t="shared" si="19"/>
        <v/>
      </c>
      <c r="BO63" s="18" t="str">
        <f t="shared" si="20"/>
        <v/>
      </c>
      <c r="BP63" s="18" t="str">
        <f t="shared" si="21"/>
        <v/>
      </c>
      <c r="BQ63" s="16"/>
      <c r="BR63" s="16"/>
      <c r="BS63" s="17"/>
    </row>
    <row r="64" spans="1:71" ht="16.05" customHeight="1" x14ac:dyDescent="0.3">
      <c r="A64" s="16"/>
      <c r="B64" s="16"/>
      <c r="C64" s="17"/>
      <c r="D64" s="17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7" t="str">
        <f t="shared" si="11"/>
        <v/>
      </c>
      <c r="V64" s="17" t="str">
        <f t="shared" si="12"/>
        <v/>
      </c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8" t="str">
        <f>IF($A64="","",ROUND(P64*CONFIGURACION!$B$2+IF(W64&lt;&gt;"",X64*IFERROR(VLOOKUP(W64,'DATOS COSTES POLIAMIDAS'!$A:$G,7,0),0),0)+IF(Y64&lt;&gt;"",Z64*IFERROR(VLOOKUP(Y64,'DATOS COSTES POLIAMIDAS'!$A:$G,7,0),0),0)+IF(AA64&lt;&gt;"",AB64*IFERROR(VLOOKUP(AA64,'DATOS COSTES POLIAMIDAS'!$A:$G,7,0),0),0)+IF(AC64&lt;&gt;"",AD64*IFERROR(VLOOKUP(AC64,'DATOS COSTES POLIAMIDAS'!$A:$G,7,0),0),0)+IF(AE64&lt;&gt;"",IFERROR(VLOOKUP(AE64,'DATOS COSTES MECANIZADOS'!$A:$F,6,0),0),0),4))</f>
        <v/>
      </c>
      <c r="AZ64" s="18" t="str">
        <f>IF($A64="","",ROUND(AY64+R64*CONFIGURACION!$B$6,4))</f>
        <v/>
      </c>
      <c r="BA64" s="18" t="str">
        <f>IF($A64="","",ROUND(AY64+R64*CONFIGURACION!$B$7,4))</f>
        <v/>
      </c>
      <c r="BB64" s="18" t="str">
        <f>IF($A64="","",ROUND(AY64+R64*CONFIGURACION!$B$5,4))</f>
        <v/>
      </c>
      <c r="BC64" s="18" t="str">
        <f>IF($A64="","",ROUND(AY64+R64*CONFIGURACION!$B$10+R64*T64*CONFIGURACION!$B$11,4))</f>
        <v/>
      </c>
      <c r="BD64" s="18" t="str">
        <f>IF($A64="","",ROUND(AY64+R64*CONFIGURACION!$B$8,4))</f>
        <v/>
      </c>
      <c r="BE64" s="18" t="str">
        <f>IF($A64="","",ROUND(AY64+R64*CONFIGURACION!$B$9,4))</f>
        <v/>
      </c>
      <c r="BF64" s="18" t="str">
        <f>IF($A64="","",ROUND(AY64+R64*CONFIGURACION!$B$13,4))</f>
        <v/>
      </c>
      <c r="BG64" s="18" t="str">
        <f>IF($A64="","",ROUND(AY64+R64*CONFIGURACION!$B$12,4))</f>
        <v/>
      </c>
      <c r="BH64" s="18" t="str">
        <f t="shared" si="13"/>
        <v/>
      </c>
      <c r="BI64" s="18" t="str">
        <f t="shared" si="14"/>
        <v/>
      </c>
      <c r="BJ64" s="18" t="str">
        <f t="shared" si="15"/>
        <v/>
      </c>
      <c r="BK64" s="18" t="str">
        <f t="shared" si="16"/>
        <v/>
      </c>
      <c r="BL64" s="18" t="str">
        <f t="shared" si="17"/>
        <v/>
      </c>
      <c r="BM64" s="18" t="str">
        <f t="shared" si="18"/>
        <v/>
      </c>
      <c r="BN64" s="18" t="str">
        <f t="shared" si="19"/>
        <v/>
      </c>
      <c r="BO64" s="18" t="str">
        <f t="shared" si="20"/>
        <v/>
      </c>
      <c r="BP64" s="18" t="str">
        <f t="shared" si="21"/>
        <v/>
      </c>
      <c r="BQ64" s="16"/>
      <c r="BR64" s="16"/>
      <c r="BS64" s="17"/>
    </row>
    <row r="65" spans="1:71" ht="16.05" customHeight="1" x14ac:dyDescent="0.3">
      <c r="A65" s="16"/>
      <c r="B65" s="16"/>
      <c r="C65" s="17"/>
      <c r="D65" s="17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7" t="str">
        <f t="shared" si="11"/>
        <v/>
      </c>
      <c r="V65" s="17" t="str">
        <f t="shared" si="12"/>
        <v/>
      </c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8" t="str">
        <f>IF($A65="","",ROUND(P65*CONFIGURACION!$B$2+IF(W65&lt;&gt;"",X65*IFERROR(VLOOKUP(W65,'DATOS COSTES POLIAMIDAS'!$A:$G,7,0),0),0)+IF(Y65&lt;&gt;"",Z65*IFERROR(VLOOKUP(Y65,'DATOS COSTES POLIAMIDAS'!$A:$G,7,0),0),0)+IF(AA65&lt;&gt;"",AB65*IFERROR(VLOOKUP(AA65,'DATOS COSTES POLIAMIDAS'!$A:$G,7,0),0),0)+IF(AC65&lt;&gt;"",AD65*IFERROR(VLOOKUP(AC65,'DATOS COSTES POLIAMIDAS'!$A:$G,7,0),0),0)+IF(AE65&lt;&gt;"",IFERROR(VLOOKUP(AE65,'DATOS COSTES MECANIZADOS'!$A:$F,6,0),0),0),4))</f>
        <v/>
      </c>
      <c r="AZ65" s="18" t="str">
        <f>IF($A65="","",ROUND(AY65+R65*CONFIGURACION!$B$6,4))</f>
        <v/>
      </c>
      <c r="BA65" s="18" t="str">
        <f>IF($A65="","",ROUND(AY65+R65*CONFIGURACION!$B$7,4))</f>
        <v/>
      </c>
      <c r="BB65" s="18" t="str">
        <f>IF($A65="","",ROUND(AY65+R65*CONFIGURACION!$B$5,4))</f>
        <v/>
      </c>
      <c r="BC65" s="18" t="str">
        <f>IF($A65="","",ROUND(AY65+R65*CONFIGURACION!$B$10+R65*T65*CONFIGURACION!$B$11,4))</f>
        <v/>
      </c>
      <c r="BD65" s="18" t="str">
        <f>IF($A65="","",ROUND(AY65+R65*CONFIGURACION!$B$8,4))</f>
        <v/>
      </c>
      <c r="BE65" s="18" t="str">
        <f>IF($A65="","",ROUND(AY65+R65*CONFIGURACION!$B$9,4))</f>
        <v/>
      </c>
      <c r="BF65" s="18" t="str">
        <f>IF($A65="","",ROUND(AY65+R65*CONFIGURACION!$B$13,4))</f>
        <v/>
      </c>
      <c r="BG65" s="18" t="str">
        <f>IF($A65="","",ROUND(AY65+R65*CONFIGURACION!$B$12,4))</f>
        <v/>
      </c>
      <c r="BH65" s="18" t="str">
        <f t="shared" si="13"/>
        <v/>
      </c>
      <c r="BI65" s="18" t="str">
        <f t="shared" si="14"/>
        <v/>
      </c>
      <c r="BJ65" s="18" t="str">
        <f t="shared" si="15"/>
        <v/>
      </c>
      <c r="BK65" s="18" t="str">
        <f t="shared" si="16"/>
        <v/>
      </c>
      <c r="BL65" s="18" t="str">
        <f t="shared" si="17"/>
        <v/>
      </c>
      <c r="BM65" s="18" t="str">
        <f t="shared" si="18"/>
        <v/>
      </c>
      <c r="BN65" s="18" t="str">
        <f t="shared" si="19"/>
        <v/>
      </c>
      <c r="BO65" s="18" t="str">
        <f t="shared" si="20"/>
        <v/>
      </c>
      <c r="BP65" s="18" t="str">
        <f t="shared" si="21"/>
        <v/>
      </c>
      <c r="BQ65" s="16"/>
      <c r="BR65" s="16"/>
      <c r="BS65" s="17"/>
    </row>
    <row r="66" spans="1:71" ht="16.05" customHeight="1" x14ac:dyDescent="0.3">
      <c r="A66" s="16"/>
      <c r="B66" s="16"/>
      <c r="C66" s="17"/>
      <c r="D66" s="17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7" t="str">
        <f t="shared" si="11"/>
        <v/>
      </c>
      <c r="V66" s="17" t="str">
        <f t="shared" si="12"/>
        <v/>
      </c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8" t="str">
        <f>IF($A66="","",ROUND(P66*CONFIGURACION!$B$2+IF(W66&lt;&gt;"",X66*IFERROR(VLOOKUP(W66,'DATOS COSTES POLIAMIDAS'!$A:$G,7,0),0),0)+IF(Y66&lt;&gt;"",Z66*IFERROR(VLOOKUP(Y66,'DATOS COSTES POLIAMIDAS'!$A:$G,7,0),0),0)+IF(AA66&lt;&gt;"",AB66*IFERROR(VLOOKUP(AA66,'DATOS COSTES POLIAMIDAS'!$A:$G,7,0),0),0)+IF(AC66&lt;&gt;"",AD66*IFERROR(VLOOKUP(AC66,'DATOS COSTES POLIAMIDAS'!$A:$G,7,0),0),0)+IF(AE66&lt;&gt;"",IFERROR(VLOOKUP(AE66,'DATOS COSTES MECANIZADOS'!$A:$F,6,0),0),0),4))</f>
        <v/>
      </c>
      <c r="AZ66" s="18" t="str">
        <f>IF($A66="","",ROUND(AY66+R66*CONFIGURACION!$B$6,4))</f>
        <v/>
      </c>
      <c r="BA66" s="18" t="str">
        <f>IF($A66="","",ROUND(AY66+R66*CONFIGURACION!$B$7,4))</f>
        <v/>
      </c>
      <c r="BB66" s="18" t="str">
        <f>IF($A66="","",ROUND(AY66+R66*CONFIGURACION!$B$5,4))</f>
        <v/>
      </c>
      <c r="BC66" s="18" t="str">
        <f>IF($A66="","",ROUND(AY66+R66*CONFIGURACION!$B$10+R66*T66*CONFIGURACION!$B$11,4))</f>
        <v/>
      </c>
      <c r="BD66" s="18" t="str">
        <f>IF($A66="","",ROUND(AY66+R66*CONFIGURACION!$B$8,4))</f>
        <v/>
      </c>
      <c r="BE66" s="18" t="str">
        <f>IF($A66="","",ROUND(AY66+R66*CONFIGURACION!$B$9,4))</f>
        <v/>
      </c>
      <c r="BF66" s="18" t="str">
        <f>IF($A66="","",ROUND(AY66+R66*CONFIGURACION!$B$13,4))</f>
        <v/>
      </c>
      <c r="BG66" s="18" t="str">
        <f>IF($A66="","",ROUND(AY66+R66*CONFIGURACION!$B$12,4))</f>
        <v/>
      </c>
      <c r="BH66" s="18" t="str">
        <f t="shared" si="13"/>
        <v/>
      </c>
      <c r="BI66" s="18" t="str">
        <f t="shared" si="14"/>
        <v/>
      </c>
      <c r="BJ66" s="18" t="str">
        <f t="shared" si="15"/>
        <v/>
      </c>
      <c r="BK66" s="18" t="str">
        <f t="shared" si="16"/>
        <v/>
      </c>
      <c r="BL66" s="18" t="str">
        <f t="shared" si="17"/>
        <v/>
      </c>
      <c r="BM66" s="18" t="str">
        <f t="shared" si="18"/>
        <v/>
      </c>
      <c r="BN66" s="18" t="str">
        <f t="shared" si="19"/>
        <v/>
      </c>
      <c r="BO66" s="18" t="str">
        <f t="shared" si="20"/>
        <v/>
      </c>
      <c r="BP66" s="18" t="str">
        <f t="shared" si="21"/>
        <v/>
      </c>
      <c r="BQ66" s="16"/>
      <c r="BR66" s="16"/>
      <c r="BS66" s="17"/>
    </row>
    <row r="67" spans="1:71" ht="16.05" customHeight="1" x14ac:dyDescent="0.3">
      <c r="A67" s="16"/>
      <c r="B67" s="16"/>
      <c r="C67" s="17"/>
      <c r="D67" s="17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7" t="str">
        <f t="shared" ref="U67:U98" si="22">IF($A67="","","X:\IMAGENES GEINPROD\"&amp;$A67&amp;".JPG")</f>
        <v/>
      </c>
      <c r="V67" s="17" t="str">
        <f t="shared" ref="V67:V98" si="23">IF($A67="","","X:\IMAGENES GEINPROD\PLANO ORIGINAL THERMIA\"&amp;$A67&amp;".pdf")</f>
        <v/>
      </c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8" t="str">
        <f>IF($A67="","",ROUND(P67*CONFIGURACION!$B$2+IF(W67&lt;&gt;"",X67*IFERROR(VLOOKUP(W67,'DATOS COSTES POLIAMIDAS'!$A:$G,7,0),0),0)+IF(Y67&lt;&gt;"",Z67*IFERROR(VLOOKUP(Y67,'DATOS COSTES POLIAMIDAS'!$A:$G,7,0),0),0)+IF(AA67&lt;&gt;"",AB67*IFERROR(VLOOKUP(AA67,'DATOS COSTES POLIAMIDAS'!$A:$G,7,0),0),0)+IF(AC67&lt;&gt;"",AD67*IFERROR(VLOOKUP(AC67,'DATOS COSTES POLIAMIDAS'!$A:$G,7,0),0),0)+IF(AE67&lt;&gt;"",IFERROR(VLOOKUP(AE67,'DATOS COSTES MECANIZADOS'!$A:$F,6,0),0),0),4))</f>
        <v/>
      </c>
      <c r="AZ67" s="18" t="str">
        <f>IF($A67="","",ROUND(AY67+R67*CONFIGURACION!$B$6,4))</f>
        <v/>
      </c>
      <c r="BA67" s="18" t="str">
        <f>IF($A67="","",ROUND(AY67+R67*CONFIGURACION!$B$7,4))</f>
        <v/>
      </c>
      <c r="BB67" s="18" t="str">
        <f>IF($A67="","",ROUND(AY67+R67*CONFIGURACION!$B$5,4))</f>
        <v/>
      </c>
      <c r="BC67" s="18" t="str">
        <f>IF($A67="","",ROUND(AY67+R67*CONFIGURACION!$B$10+R67*T67*CONFIGURACION!$B$11,4))</f>
        <v/>
      </c>
      <c r="BD67" s="18" t="str">
        <f>IF($A67="","",ROUND(AY67+R67*CONFIGURACION!$B$8,4))</f>
        <v/>
      </c>
      <c r="BE67" s="18" t="str">
        <f>IF($A67="","",ROUND(AY67+R67*CONFIGURACION!$B$9,4))</f>
        <v/>
      </c>
      <c r="BF67" s="18" t="str">
        <f>IF($A67="","",ROUND(AY67+R67*CONFIGURACION!$B$13,4))</f>
        <v/>
      </c>
      <c r="BG67" s="18" t="str">
        <f>IF($A67="","",ROUND(AY67+R67*CONFIGURACION!$B$12,4))</f>
        <v/>
      </c>
      <c r="BH67" s="18" t="str">
        <f t="shared" ref="BH67:BH98" si="24">IF($A67="","",IF(AP67="","",ROUND(AY67/AP67,4)))</f>
        <v/>
      </c>
      <c r="BI67" s="18" t="str">
        <f t="shared" ref="BI67:BI98" si="25">IF($A67="","",IF(AQ67="","",ROUND(AZ67/AQ67,4)))</f>
        <v/>
      </c>
      <c r="BJ67" s="18" t="str">
        <f t="shared" ref="BJ67:BJ98" si="26">IF($A67="","",IF(AR67="","",ROUND(BA67/AR67,4)))</f>
        <v/>
      </c>
      <c r="BK67" s="18" t="str">
        <f t="shared" ref="BK67:BK98" si="27">IF($A67="","",IF(AS67="","",ROUND(BB67/AS67,4)))</f>
        <v/>
      </c>
      <c r="BL67" s="18" t="str">
        <f t="shared" ref="BL67:BL98" si="28">IF($A67="","",IF(AT67="","",ROUND(BC67/AT67,4)))</f>
        <v/>
      </c>
      <c r="BM67" s="18" t="str">
        <f t="shared" ref="BM67:BM98" si="29">IF($A67="","",IF(AU67="","",ROUND(BD67/AU67,4)))</f>
        <v/>
      </c>
      <c r="BN67" s="18" t="str">
        <f t="shared" ref="BN67:BN98" si="30">IF($A67="","",IF(AV67="","",ROUND(BE67/AV67,4)))</f>
        <v/>
      </c>
      <c r="BO67" s="18" t="str">
        <f t="shared" ref="BO67:BO98" si="31">IF($A67="","",IF(AW67="","",ROUND(BF67/AW67,4)))</f>
        <v/>
      </c>
      <c r="BP67" s="18" t="str">
        <f t="shared" ref="BP67:BP98" si="32">IF($A67="","",IF(AX67="","",ROUND(BG67/AX67,4)))</f>
        <v/>
      </c>
      <c r="BQ67" s="16"/>
      <c r="BR67" s="16"/>
      <c r="BS67" s="17"/>
    </row>
    <row r="68" spans="1:71" ht="16.05" customHeight="1" x14ac:dyDescent="0.3">
      <c r="A68" s="16"/>
      <c r="B68" s="16"/>
      <c r="C68" s="17"/>
      <c r="D68" s="17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7" t="str">
        <f t="shared" si="22"/>
        <v/>
      </c>
      <c r="V68" s="17" t="str">
        <f t="shared" si="23"/>
        <v/>
      </c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8" t="str">
        <f>IF($A68="","",ROUND(P68*CONFIGURACION!$B$2+IF(W68&lt;&gt;"",X68*IFERROR(VLOOKUP(W68,'DATOS COSTES POLIAMIDAS'!$A:$G,7,0),0),0)+IF(Y68&lt;&gt;"",Z68*IFERROR(VLOOKUP(Y68,'DATOS COSTES POLIAMIDAS'!$A:$G,7,0),0),0)+IF(AA68&lt;&gt;"",AB68*IFERROR(VLOOKUP(AA68,'DATOS COSTES POLIAMIDAS'!$A:$G,7,0),0),0)+IF(AC68&lt;&gt;"",AD68*IFERROR(VLOOKUP(AC68,'DATOS COSTES POLIAMIDAS'!$A:$G,7,0),0),0)+IF(AE68&lt;&gt;"",IFERROR(VLOOKUP(AE68,'DATOS COSTES MECANIZADOS'!$A:$F,6,0),0),0),4))</f>
        <v/>
      </c>
      <c r="AZ68" s="18" t="str">
        <f>IF($A68="","",ROUND(AY68+R68*CONFIGURACION!$B$6,4))</f>
        <v/>
      </c>
      <c r="BA68" s="18" t="str">
        <f>IF($A68="","",ROUND(AY68+R68*CONFIGURACION!$B$7,4))</f>
        <v/>
      </c>
      <c r="BB68" s="18" t="str">
        <f>IF($A68="","",ROUND(AY68+R68*CONFIGURACION!$B$5,4))</f>
        <v/>
      </c>
      <c r="BC68" s="18" t="str">
        <f>IF($A68="","",ROUND(AY68+R68*CONFIGURACION!$B$10+R68*T68*CONFIGURACION!$B$11,4))</f>
        <v/>
      </c>
      <c r="BD68" s="18" t="str">
        <f>IF($A68="","",ROUND(AY68+R68*CONFIGURACION!$B$8,4))</f>
        <v/>
      </c>
      <c r="BE68" s="18" t="str">
        <f>IF($A68="","",ROUND(AY68+R68*CONFIGURACION!$B$9,4))</f>
        <v/>
      </c>
      <c r="BF68" s="18" t="str">
        <f>IF($A68="","",ROUND(AY68+R68*CONFIGURACION!$B$13,4))</f>
        <v/>
      </c>
      <c r="BG68" s="18" t="str">
        <f>IF($A68="","",ROUND(AY68+R68*CONFIGURACION!$B$12,4))</f>
        <v/>
      </c>
      <c r="BH68" s="18" t="str">
        <f t="shared" si="24"/>
        <v/>
      </c>
      <c r="BI68" s="18" t="str">
        <f t="shared" si="25"/>
        <v/>
      </c>
      <c r="BJ68" s="18" t="str">
        <f t="shared" si="26"/>
        <v/>
      </c>
      <c r="BK68" s="18" t="str">
        <f t="shared" si="27"/>
        <v/>
      </c>
      <c r="BL68" s="18" t="str">
        <f t="shared" si="28"/>
        <v/>
      </c>
      <c r="BM68" s="18" t="str">
        <f t="shared" si="29"/>
        <v/>
      </c>
      <c r="BN68" s="18" t="str">
        <f t="shared" si="30"/>
        <v/>
      </c>
      <c r="BO68" s="18" t="str">
        <f t="shared" si="31"/>
        <v/>
      </c>
      <c r="BP68" s="18" t="str">
        <f t="shared" si="32"/>
        <v/>
      </c>
      <c r="BQ68" s="16"/>
      <c r="BR68" s="16"/>
      <c r="BS68" s="17"/>
    </row>
    <row r="69" spans="1:71" ht="16.05" customHeight="1" x14ac:dyDescent="0.3">
      <c r="A69" s="16"/>
      <c r="B69" s="16"/>
      <c r="C69" s="17"/>
      <c r="D69" s="17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7" t="str">
        <f t="shared" si="22"/>
        <v/>
      </c>
      <c r="V69" s="17" t="str">
        <f t="shared" si="23"/>
        <v/>
      </c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8" t="str">
        <f>IF($A69="","",ROUND(P69*CONFIGURACION!$B$2+IF(W69&lt;&gt;"",X69*IFERROR(VLOOKUP(W69,'DATOS COSTES POLIAMIDAS'!$A:$G,7,0),0),0)+IF(Y69&lt;&gt;"",Z69*IFERROR(VLOOKUP(Y69,'DATOS COSTES POLIAMIDAS'!$A:$G,7,0),0),0)+IF(AA69&lt;&gt;"",AB69*IFERROR(VLOOKUP(AA69,'DATOS COSTES POLIAMIDAS'!$A:$G,7,0),0),0)+IF(AC69&lt;&gt;"",AD69*IFERROR(VLOOKUP(AC69,'DATOS COSTES POLIAMIDAS'!$A:$G,7,0),0),0)+IF(AE69&lt;&gt;"",IFERROR(VLOOKUP(AE69,'DATOS COSTES MECANIZADOS'!$A:$F,6,0),0),0),4))</f>
        <v/>
      </c>
      <c r="AZ69" s="18" t="str">
        <f>IF($A69="","",ROUND(AY69+R69*CONFIGURACION!$B$6,4))</f>
        <v/>
      </c>
      <c r="BA69" s="18" t="str">
        <f>IF($A69="","",ROUND(AY69+R69*CONFIGURACION!$B$7,4))</f>
        <v/>
      </c>
      <c r="BB69" s="18" t="str">
        <f>IF($A69="","",ROUND(AY69+R69*CONFIGURACION!$B$5,4))</f>
        <v/>
      </c>
      <c r="BC69" s="18" t="str">
        <f>IF($A69="","",ROUND(AY69+R69*CONFIGURACION!$B$10+R69*T69*CONFIGURACION!$B$11,4))</f>
        <v/>
      </c>
      <c r="BD69" s="18" t="str">
        <f>IF($A69="","",ROUND(AY69+R69*CONFIGURACION!$B$8,4))</f>
        <v/>
      </c>
      <c r="BE69" s="18" t="str">
        <f>IF($A69="","",ROUND(AY69+R69*CONFIGURACION!$B$9,4))</f>
        <v/>
      </c>
      <c r="BF69" s="18" t="str">
        <f>IF($A69="","",ROUND(AY69+R69*CONFIGURACION!$B$13,4))</f>
        <v/>
      </c>
      <c r="BG69" s="18" t="str">
        <f>IF($A69="","",ROUND(AY69+R69*CONFIGURACION!$B$12,4))</f>
        <v/>
      </c>
      <c r="BH69" s="18" t="str">
        <f t="shared" si="24"/>
        <v/>
      </c>
      <c r="BI69" s="18" t="str">
        <f t="shared" si="25"/>
        <v/>
      </c>
      <c r="BJ69" s="18" t="str">
        <f t="shared" si="26"/>
        <v/>
      </c>
      <c r="BK69" s="18" t="str">
        <f t="shared" si="27"/>
        <v/>
      </c>
      <c r="BL69" s="18" t="str">
        <f t="shared" si="28"/>
        <v/>
      </c>
      <c r="BM69" s="18" t="str">
        <f t="shared" si="29"/>
        <v/>
      </c>
      <c r="BN69" s="18" t="str">
        <f t="shared" si="30"/>
        <v/>
      </c>
      <c r="BO69" s="18" t="str">
        <f t="shared" si="31"/>
        <v/>
      </c>
      <c r="BP69" s="18" t="str">
        <f t="shared" si="32"/>
        <v/>
      </c>
      <c r="BQ69" s="16"/>
      <c r="BR69" s="16"/>
      <c r="BS69" s="17"/>
    </row>
    <row r="70" spans="1:71" ht="16.05" customHeight="1" x14ac:dyDescent="0.3">
      <c r="A70" s="16"/>
      <c r="B70" s="16"/>
      <c r="C70" s="17"/>
      <c r="D70" s="17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7" t="str">
        <f t="shared" si="22"/>
        <v/>
      </c>
      <c r="V70" s="17" t="str">
        <f t="shared" si="23"/>
        <v/>
      </c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8" t="str">
        <f>IF($A70="","",ROUND(P70*CONFIGURACION!$B$2+IF(W70&lt;&gt;"",X70*IFERROR(VLOOKUP(W70,'DATOS COSTES POLIAMIDAS'!$A:$G,7,0),0),0)+IF(Y70&lt;&gt;"",Z70*IFERROR(VLOOKUP(Y70,'DATOS COSTES POLIAMIDAS'!$A:$G,7,0),0),0)+IF(AA70&lt;&gt;"",AB70*IFERROR(VLOOKUP(AA70,'DATOS COSTES POLIAMIDAS'!$A:$G,7,0),0),0)+IF(AC70&lt;&gt;"",AD70*IFERROR(VLOOKUP(AC70,'DATOS COSTES POLIAMIDAS'!$A:$G,7,0),0),0)+IF(AE70&lt;&gt;"",IFERROR(VLOOKUP(AE70,'DATOS COSTES MECANIZADOS'!$A:$F,6,0),0),0),4))</f>
        <v/>
      </c>
      <c r="AZ70" s="18" t="str">
        <f>IF($A70="","",ROUND(AY70+R70*CONFIGURACION!$B$6,4))</f>
        <v/>
      </c>
      <c r="BA70" s="18" t="str">
        <f>IF($A70="","",ROUND(AY70+R70*CONFIGURACION!$B$7,4))</f>
        <v/>
      </c>
      <c r="BB70" s="18" t="str">
        <f>IF($A70="","",ROUND(AY70+R70*CONFIGURACION!$B$5,4))</f>
        <v/>
      </c>
      <c r="BC70" s="18" t="str">
        <f>IF($A70="","",ROUND(AY70+R70*CONFIGURACION!$B$10+R70*T70*CONFIGURACION!$B$11,4))</f>
        <v/>
      </c>
      <c r="BD70" s="18" t="str">
        <f>IF($A70="","",ROUND(AY70+R70*CONFIGURACION!$B$8,4))</f>
        <v/>
      </c>
      <c r="BE70" s="18" t="str">
        <f>IF($A70="","",ROUND(AY70+R70*CONFIGURACION!$B$9,4))</f>
        <v/>
      </c>
      <c r="BF70" s="18" t="str">
        <f>IF($A70="","",ROUND(AY70+R70*CONFIGURACION!$B$13,4))</f>
        <v/>
      </c>
      <c r="BG70" s="18" t="str">
        <f>IF($A70="","",ROUND(AY70+R70*CONFIGURACION!$B$12,4))</f>
        <v/>
      </c>
      <c r="BH70" s="18" t="str">
        <f t="shared" si="24"/>
        <v/>
      </c>
      <c r="BI70" s="18" t="str">
        <f t="shared" si="25"/>
        <v/>
      </c>
      <c r="BJ70" s="18" t="str">
        <f t="shared" si="26"/>
        <v/>
      </c>
      <c r="BK70" s="18" t="str">
        <f t="shared" si="27"/>
        <v/>
      </c>
      <c r="BL70" s="18" t="str">
        <f t="shared" si="28"/>
        <v/>
      </c>
      <c r="BM70" s="18" t="str">
        <f t="shared" si="29"/>
        <v/>
      </c>
      <c r="BN70" s="18" t="str">
        <f t="shared" si="30"/>
        <v/>
      </c>
      <c r="BO70" s="18" t="str">
        <f t="shared" si="31"/>
        <v/>
      </c>
      <c r="BP70" s="18" t="str">
        <f t="shared" si="32"/>
        <v/>
      </c>
      <c r="BQ70" s="16"/>
      <c r="BR70" s="16"/>
      <c r="BS70" s="17"/>
    </row>
    <row r="71" spans="1:71" ht="16.05" customHeight="1" x14ac:dyDescent="0.3">
      <c r="A71" s="16"/>
      <c r="B71" s="16"/>
      <c r="C71" s="17"/>
      <c r="D71" s="17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7" t="str">
        <f t="shared" si="22"/>
        <v/>
      </c>
      <c r="V71" s="17" t="str">
        <f t="shared" si="23"/>
        <v/>
      </c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8" t="str">
        <f>IF($A71="","",ROUND(P71*CONFIGURACION!$B$2+IF(W71&lt;&gt;"",X71*IFERROR(VLOOKUP(W71,'DATOS COSTES POLIAMIDAS'!$A:$G,7,0),0),0)+IF(Y71&lt;&gt;"",Z71*IFERROR(VLOOKUP(Y71,'DATOS COSTES POLIAMIDAS'!$A:$G,7,0),0),0)+IF(AA71&lt;&gt;"",AB71*IFERROR(VLOOKUP(AA71,'DATOS COSTES POLIAMIDAS'!$A:$G,7,0),0),0)+IF(AC71&lt;&gt;"",AD71*IFERROR(VLOOKUP(AC71,'DATOS COSTES POLIAMIDAS'!$A:$G,7,0),0),0)+IF(AE71&lt;&gt;"",IFERROR(VLOOKUP(AE71,'DATOS COSTES MECANIZADOS'!$A:$F,6,0),0),0),4))</f>
        <v/>
      </c>
      <c r="AZ71" s="18" t="str">
        <f>IF($A71="","",ROUND(AY71+R71*CONFIGURACION!$B$6,4))</f>
        <v/>
      </c>
      <c r="BA71" s="18" t="str">
        <f>IF($A71="","",ROUND(AY71+R71*CONFIGURACION!$B$7,4))</f>
        <v/>
      </c>
      <c r="BB71" s="18" t="str">
        <f>IF($A71="","",ROUND(AY71+R71*CONFIGURACION!$B$5,4))</f>
        <v/>
      </c>
      <c r="BC71" s="18" t="str">
        <f>IF($A71="","",ROUND(AY71+R71*CONFIGURACION!$B$10+R71*T71*CONFIGURACION!$B$11,4))</f>
        <v/>
      </c>
      <c r="BD71" s="18" t="str">
        <f>IF($A71="","",ROUND(AY71+R71*CONFIGURACION!$B$8,4))</f>
        <v/>
      </c>
      <c r="BE71" s="18" t="str">
        <f>IF($A71="","",ROUND(AY71+R71*CONFIGURACION!$B$9,4))</f>
        <v/>
      </c>
      <c r="BF71" s="18" t="str">
        <f>IF($A71="","",ROUND(AY71+R71*CONFIGURACION!$B$13,4))</f>
        <v/>
      </c>
      <c r="BG71" s="18" t="str">
        <f>IF($A71="","",ROUND(AY71+R71*CONFIGURACION!$B$12,4))</f>
        <v/>
      </c>
      <c r="BH71" s="18" t="str">
        <f t="shared" si="24"/>
        <v/>
      </c>
      <c r="BI71" s="18" t="str">
        <f t="shared" si="25"/>
        <v/>
      </c>
      <c r="BJ71" s="18" t="str">
        <f t="shared" si="26"/>
        <v/>
      </c>
      <c r="BK71" s="18" t="str">
        <f t="shared" si="27"/>
        <v/>
      </c>
      <c r="BL71" s="18" t="str">
        <f t="shared" si="28"/>
        <v/>
      </c>
      <c r="BM71" s="18" t="str">
        <f t="shared" si="29"/>
        <v/>
      </c>
      <c r="BN71" s="18" t="str">
        <f t="shared" si="30"/>
        <v/>
      </c>
      <c r="BO71" s="18" t="str">
        <f t="shared" si="31"/>
        <v/>
      </c>
      <c r="BP71" s="18" t="str">
        <f t="shared" si="32"/>
        <v/>
      </c>
      <c r="BQ71" s="16"/>
      <c r="BR71" s="16"/>
      <c r="BS71" s="17"/>
    </row>
    <row r="72" spans="1:71" ht="16.05" customHeight="1" x14ac:dyDescent="0.3">
      <c r="A72" s="16"/>
      <c r="B72" s="16"/>
      <c r="C72" s="17"/>
      <c r="D72" s="17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7" t="str">
        <f t="shared" si="22"/>
        <v/>
      </c>
      <c r="V72" s="17" t="str">
        <f t="shared" si="23"/>
        <v/>
      </c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8" t="str">
        <f>IF($A72="","",ROUND(P72*CONFIGURACION!$B$2+IF(W72&lt;&gt;"",X72*IFERROR(VLOOKUP(W72,'DATOS COSTES POLIAMIDAS'!$A:$G,7,0),0),0)+IF(Y72&lt;&gt;"",Z72*IFERROR(VLOOKUP(Y72,'DATOS COSTES POLIAMIDAS'!$A:$G,7,0),0),0)+IF(AA72&lt;&gt;"",AB72*IFERROR(VLOOKUP(AA72,'DATOS COSTES POLIAMIDAS'!$A:$G,7,0),0),0)+IF(AC72&lt;&gt;"",AD72*IFERROR(VLOOKUP(AC72,'DATOS COSTES POLIAMIDAS'!$A:$G,7,0),0),0)+IF(AE72&lt;&gt;"",IFERROR(VLOOKUP(AE72,'DATOS COSTES MECANIZADOS'!$A:$F,6,0),0),0),4))</f>
        <v/>
      </c>
      <c r="AZ72" s="18" t="str">
        <f>IF($A72="","",ROUND(AY72+R72*CONFIGURACION!$B$6,4))</f>
        <v/>
      </c>
      <c r="BA72" s="18" t="str">
        <f>IF($A72="","",ROUND(AY72+R72*CONFIGURACION!$B$7,4))</f>
        <v/>
      </c>
      <c r="BB72" s="18" t="str">
        <f>IF($A72="","",ROUND(AY72+R72*CONFIGURACION!$B$5,4))</f>
        <v/>
      </c>
      <c r="BC72" s="18" t="str">
        <f>IF($A72="","",ROUND(AY72+R72*CONFIGURACION!$B$10+R72*T72*CONFIGURACION!$B$11,4))</f>
        <v/>
      </c>
      <c r="BD72" s="18" t="str">
        <f>IF($A72="","",ROUND(AY72+R72*CONFIGURACION!$B$8,4))</f>
        <v/>
      </c>
      <c r="BE72" s="18" t="str">
        <f>IF($A72="","",ROUND(AY72+R72*CONFIGURACION!$B$9,4))</f>
        <v/>
      </c>
      <c r="BF72" s="18" t="str">
        <f>IF($A72="","",ROUND(AY72+R72*CONFIGURACION!$B$13,4))</f>
        <v/>
      </c>
      <c r="BG72" s="18" t="str">
        <f>IF($A72="","",ROUND(AY72+R72*CONFIGURACION!$B$12,4))</f>
        <v/>
      </c>
      <c r="BH72" s="18" t="str">
        <f t="shared" si="24"/>
        <v/>
      </c>
      <c r="BI72" s="18" t="str">
        <f t="shared" si="25"/>
        <v/>
      </c>
      <c r="BJ72" s="18" t="str">
        <f t="shared" si="26"/>
        <v/>
      </c>
      <c r="BK72" s="18" t="str">
        <f t="shared" si="27"/>
        <v/>
      </c>
      <c r="BL72" s="18" t="str">
        <f t="shared" si="28"/>
        <v/>
      </c>
      <c r="BM72" s="18" t="str">
        <f t="shared" si="29"/>
        <v/>
      </c>
      <c r="BN72" s="18" t="str">
        <f t="shared" si="30"/>
        <v/>
      </c>
      <c r="BO72" s="18" t="str">
        <f t="shared" si="31"/>
        <v/>
      </c>
      <c r="BP72" s="18" t="str">
        <f t="shared" si="32"/>
        <v/>
      </c>
      <c r="BQ72" s="16"/>
      <c r="BR72" s="16"/>
      <c r="BS72" s="17"/>
    </row>
    <row r="73" spans="1:71" ht="16.05" customHeight="1" x14ac:dyDescent="0.3">
      <c r="A73" s="16"/>
      <c r="B73" s="16"/>
      <c r="C73" s="17"/>
      <c r="D73" s="17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7" t="str">
        <f t="shared" si="22"/>
        <v/>
      </c>
      <c r="V73" s="17" t="str">
        <f t="shared" si="23"/>
        <v/>
      </c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8" t="str">
        <f>IF($A73="","",ROUND(P73*CONFIGURACION!$B$2+IF(W73&lt;&gt;"",X73*IFERROR(VLOOKUP(W73,'DATOS COSTES POLIAMIDAS'!$A:$G,7,0),0),0)+IF(Y73&lt;&gt;"",Z73*IFERROR(VLOOKUP(Y73,'DATOS COSTES POLIAMIDAS'!$A:$G,7,0),0),0)+IF(AA73&lt;&gt;"",AB73*IFERROR(VLOOKUP(AA73,'DATOS COSTES POLIAMIDAS'!$A:$G,7,0),0),0)+IF(AC73&lt;&gt;"",AD73*IFERROR(VLOOKUP(AC73,'DATOS COSTES POLIAMIDAS'!$A:$G,7,0),0),0)+IF(AE73&lt;&gt;"",IFERROR(VLOOKUP(AE73,'DATOS COSTES MECANIZADOS'!$A:$F,6,0),0),0),4))</f>
        <v/>
      </c>
      <c r="AZ73" s="18" t="str">
        <f>IF($A73="","",ROUND(AY73+R73*CONFIGURACION!$B$6,4))</f>
        <v/>
      </c>
      <c r="BA73" s="18" t="str">
        <f>IF($A73="","",ROUND(AY73+R73*CONFIGURACION!$B$7,4))</f>
        <v/>
      </c>
      <c r="BB73" s="18" t="str">
        <f>IF($A73="","",ROUND(AY73+R73*CONFIGURACION!$B$5,4))</f>
        <v/>
      </c>
      <c r="BC73" s="18" t="str">
        <f>IF($A73="","",ROUND(AY73+R73*CONFIGURACION!$B$10+R73*T73*CONFIGURACION!$B$11,4))</f>
        <v/>
      </c>
      <c r="BD73" s="18" t="str">
        <f>IF($A73="","",ROUND(AY73+R73*CONFIGURACION!$B$8,4))</f>
        <v/>
      </c>
      <c r="BE73" s="18" t="str">
        <f>IF($A73="","",ROUND(AY73+R73*CONFIGURACION!$B$9,4))</f>
        <v/>
      </c>
      <c r="BF73" s="18" t="str">
        <f>IF($A73="","",ROUND(AY73+R73*CONFIGURACION!$B$13,4))</f>
        <v/>
      </c>
      <c r="BG73" s="18" t="str">
        <f>IF($A73="","",ROUND(AY73+R73*CONFIGURACION!$B$12,4))</f>
        <v/>
      </c>
      <c r="BH73" s="18" t="str">
        <f t="shared" si="24"/>
        <v/>
      </c>
      <c r="BI73" s="18" t="str">
        <f t="shared" si="25"/>
        <v/>
      </c>
      <c r="BJ73" s="18" t="str">
        <f t="shared" si="26"/>
        <v/>
      </c>
      <c r="BK73" s="18" t="str">
        <f t="shared" si="27"/>
        <v/>
      </c>
      <c r="BL73" s="18" t="str">
        <f t="shared" si="28"/>
        <v/>
      </c>
      <c r="BM73" s="18" t="str">
        <f t="shared" si="29"/>
        <v/>
      </c>
      <c r="BN73" s="18" t="str">
        <f t="shared" si="30"/>
        <v/>
      </c>
      <c r="BO73" s="18" t="str">
        <f t="shared" si="31"/>
        <v/>
      </c>
      <c r="BP73" s="18" t="str">
        <f t="shared" si="32"/>
        <v/>
      </c>
      <c r="BQ73" s="16"/>
      <c r="BR73" s="16"/>
      <c r="BS73" s="17"/>
    </row>
    <row r="74" spans="1:71" ht="16.05" customHeight="1" x14ac:dyDescent="0.3">
      <c r="A74" s="16"/>
      <c r="B74" s="16"/>
      <c r="C74" s="17"/>
      <c r="D74" s="17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7" t="str">
        <f t="shared" si="22"/>
        <v/>
      </c>
      <c r="V74" s="17" t="str">
        <f t="shared" si="23"/>
        <v/>
      </c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8" t="str">
        <f>IF($A74="","",ROUND(P74*CONFIGURACION!$B$2+IF(W74&lt;&gt;"",X74*IFERROR(VLOOKUP(W74,'DATOS COSTES POLIAMIDAS'!$A:$G,7,0),0),0)+IF(Y74&lt;&gt;"",Z74*IFERROR(VLOOKUP(Y74,'DATOS COSTES POLIAMIDAS'!$A:$G,7,0),0),0)+IF(AA74&lt;&gt;"",AB74*IFERROR(VLOOKUP(AA74,'DATOS COSTES POLIAMIDAS'!$A:$G,7,0),0),0)+IF(AC74&lt;&gt;"",AD74*IFERROR(VLOOKUP(AC74,'DATOS COSTES POLIAMIDAS'!$A:$G,7,0),0),0)+IF(AE74&lt;&gt;"",IFERROR(VLOOKUP(AE74,'DATOS COSTES MECANIZADOS'!$A:$F,6,0),0),0),4))</f>
        <v/>
      </c>
      <c r="AZ74" s="18" t="str">
        <f>IF($A74="","",ROUND(AY74+R74*CONFIGURACION!$B$6,4))</f>
        <v/>
      </c>
      <c r="BA74" s="18" t="str">
        <f>IF($A74="","",ROUND(AY74+R74*CONFIGURACION!$B$7,4))</f>
        <v/>
      </c>
      <c r="BB74" s="18" t="str">
        <f>IF($A74="","",ROUND(AY74+R74*CONFIGURACION!$B$5,4))</f>
        <v/>
      </c>
      <c r="BC74" s="18" t="str">
        <f>IF($A74="","",ROUND(AY74+R74*CONFIGURACION!$B$10+R74*T74*CONFIGURACION!$B$11,4))</f>
        <v/>
      </c>
      <c r="BD74" s="18" t="str">
        <f>IF($A74="","",ROUND(AY74+R74*CONFIGURACION!$B$8,4))</f>
        <v/>
      </c>
      <c r="BE74" s="18" t="str">
        <f>IF($A74="","",ROUND(AY74+R74*CONFIGURACION!$B$9,4))</f>
        <v/>
      </c>
      <c r="BF74" s="18" t="str">
        <f>IF($A74="","",ROUND(AY74+R74*CONFIGURACION!$B$13,4))</f>
        <v/>
      </c>
      <c r="BG74" s="18" t="str">
        <f>IF($A74="","",ROUND(AY74+R74*CONFIGURACION!$B$12,4))</f>
        <v/>
      </c>
      <c r="BH74" s="18" t="str">
        <f t="shared" si="24"/>
        <v/>
      </c>
      <c r="BI74" s="18" t="str">
        <f t="shared" si="25"/>
        <v/>
      </c>
      <c r="BJ74" s="18" t="str">
        <f t="shared" si="26"/>
        <v/>
      </c>
      <c r="BK74" s="18" t="str">
        <f t="shared" si="27"/>
        <v/>
      </c>
      <c r="BL74" s="18" t="str">
        <f t="shared" si="28"/>
        <v/>
      </c>
      <c r="BM74" s="18" t="str">
        <f t="shared" si="29"/>
        <v/>
      </c>
      <c r="BN74" s="18" t="str">
        <f t="shared" si="30"/>
        <v/>
      </c>
      <c r="BO74" s="18" t="str">
        <f t="shared" si="31"/>
        <v/>
      </c>
      <c r="BP74" s="18" t="str">
        <f t="shared" si="32"/>
        <v/>
      </c>
      <c r="BQ74" s="16"/>
      <c r="BR74" s="16"/>
      <c r="BS74" s="17"/>
    </row>
    <row r="75" spans="1:71" ht="16.05" customHeight="1" x14ac:dyDescent="0.3">
      <c r="A75" s="16"/>
      <c r="B75" s="16"/>
      <c r="C75" s="17"/>
      <c r="D75" s="17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7" t="str">
        <f t="shared" si="22"/>
        <v/>
      </c>
      <c r="V75" s="17" t="str">
        <f t="shared" si="23"/>
        <v/>
      </c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8" t="str">
        <f>IF($A75="","",ROUND(P75*CONFIGURACION!$B$2+IF(W75&lt;&gt;"",X75*IFERROR(VLOOKUP(W75,'DATOS COSTES POLIAMIDAS'!$A:$G,7,0),0),0)+IF(Y75&lt;&gt;"",Z75*IFERROR(VLOOKUP(Y75,'DATOS COSTES POLIAMIDAS'!$A:$G,7,0),0),0)+IF(AA75&lt;&gt;"",AB75*IFERROR(VLOOKUP(AA75,'DATOS COSTES POLIAMIDAS'!$A:$G,7,0),0),0)+IF(AC75&lt;&gt;"",AD75*IFERROR(VLOOKUP(AC75,'DATOS COSTES POLIAMIDAS'!$A:$G,7,0),0),0)+IF(AE75&lt;&gt;"",IFERROR(VLOOKUP(AE75,'DATOS COSTES MECANIZADOS'!$A:$F,6,0),0),0),4))</f>
        <v/>
      </c>
      <c r="AZ75" s="18" t="str">
        <f>IF($A75="","",ROUND(AY75+R75*CONFIGURACION!$B$6,4))</f>
        <v/>
      </c>
      <c r="BA75" s="18" t="str">
        <f>IF($A75="","",ROUND(AY75+R75*CONFIGURACION!$B$7,4))</f>
        <v/>
      </c>
      <c r="BB75" s="18" t="str">
        <f>IF($A75="","",ROUND(AY75+R75*CONFIGURACION!$B$5,4))</f>
        <v/>
      </c>
      <c r="BC75" s="18" t="str">
        <f>IF($A75="","",ROUND(AY75+R75*CONFIGURACION!$B$10+R75*T75*CONFIGURACION!$B$11,4))</f>
        <v/>
      </c>
      <c r="BD75" s="18" t="str">
        <f>IF($A75="","",ROUND(AY75+R75*CONFIGURACION!$B$8,4))</f>
        <v/>
      </c>
      <c r="BE75" s="18" t="str">
        <f>IF($A75="","",ROUND(AY75+R75*CONFIGURACION!$B$9,4))</f>
        <v/>
      </c>
      <c r="BF75" s="18" t="str">
        <f>IF($A75="","",ROUND(AY75+R75*CONFIGURACION!$B$13,4))</f>
        <v/>
      </c>
      <c r="BG75" s="18" t="str">
        <f>IF($A75="","",ROUND(AY75+R75*CONFIGURACION!$B$12,4))</f>
        <v/>
      </c>
      <c r="BH75" s="18" t="str">
        <f t="shared" si="24"/>
        <v/>
      </c>
      <c r="BI75" s="18" t="str">
        <f t="shared" si="25"/>
        <v/>
      </c>
      <c r="BJ75" s="18" t="str">
        <f t="shared" si="26"/>
        <v/>
      </c>
      <c r="BK75" s="18" t="str">
        <f t="shared" si="27"/>
        <v/>
      </c>
      <c r="BL75" s="18" t="str">
        <f t="shared" si="28"/>
        <v/>
      </c>
      <c r="BM75" s="18" t="str">
        <f t="shared" si="29"/>
        <v/>
      </c>
      <c r="BN75" s="18" t="str">
        <f t="shared" si="30"/>
        <v/>
      </c>
      <c r="BO75" s="18" t="str">
        <f t="shared" si="31"/>
        <v/>
      </c>
      <c r="BP75" s="18" t="str">
        <f t="shared" si="32"/>
        <v/>
      </c>
      <c r="BQ75" s="16"/>
      <c r="BR75" s="16"/>
      <c r="BS75" s="17"/>
    </row>
    <row r="76" spans="1:71" ht="16.05" customHeight="1" x14ac:dyDescent="0.3">
      <c r="A76" s="16"/>
      <c r="B76" s="16"/>
      <c r="C76" s="17"/>
      <c r="D76" s="17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7" t="str">
        <f t="shared" si="22"/>
        <v/>
      </c>
      <c r="V76" s="17" t="str">
        <f t="shared" si="23"/>
        <v/>
      </c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8" t="str">
        <f>IF($A76="","",ROUND(P76*CONFIGURACION!$B$2+IF(W76&lt;&gt;"",X76*IFERROR(VLOOKUP(W76,'DATOS COSTES POLIAMIDAS'!$A:$G,7,0),0),0)+IF(Y76&lt;&gt;"",Z76*IFERROR(VLOOKUP(Y76,'DATOS COSTES POLIAMIDAS'!$A:$G,7,0),0),0)+IF(AA76&lt;&gt;"",AB76*IFERROR(VLOOKUP(AA76,'DATOS COSTES POLIAMIDAS'!$A:$G,7,0),0),0)+IF(AC76&lt;&gt;"",AD76*IFERROR(VLOOKUP(AC76,'DATOS COSTES POLIAMIDAS'!$A:$G,7,0),0),0)+IF(AE76&lt;&gt;"",IFERROR(VLOOKUP(AE76,'DATOS COSTES MECANIZADOS'!$A:$F,6,0),0),0),4))</f>
        <v/>
      </c>
      <c r="AZ76" s="18" t="str">
        <f>IF($A76="","",ROUND(AY76+R76*CONFIGURACION!$B$6,4))</f>
        <v/>
      </c>
      <c r="BA76" s="18" t="str">
        <f>IF($A76="","",ROUND(AY76+R76*CONFIGURACION!$B$7,4))</f>
        <v/>
      </c>
      <c r="BB76" s="18" t="str">
        <f>IF($A76="","",ROUND(AY76+R76*CONFIGURACION!$B$5,4))</f>
        <v/>
      </c>
      <c r="BC76" s="18" t="str">
        <f>IF($A76="","",ROUND(AY76+R76*CONFIGURACION!$B$10+R76*T76*CONFIGURACION!$B$11,4))</f>
        <v/>
      </c>
      <c r="BD76" s="18" t="str">
        <f>IF($A76="","",ROUND(AY76+R76*CONFIGURACION!$B$8,4))</f>
        <v/>
      </c>
      <c r="BE76" s="18" t="str">
        <f>IF($A76="","",ROUND(AY76+R76*CONFIGURACION!$B$9,4))</f>
        <v/>
      </c>
      <c r="BF76" s="18" t="str">
        <f>IF($A76="","",ROUND(AY76+R76*CONFIGURACION!$B$13,4))</f>
        <v/>
      </c>
      <c r="BG76" s="18" t="str">
        <f>IF($A76="","",ROUND(AY76+R76*CONFIGURACION!$B$12,4))</f>
        <v/>
      </c>
      <c r="BH76" s="18" t="str">
        <f t="shared" si="24"/>
        <v/>
      </c>
      <c r="BI76" s="18" t="str">
        <f t="shared" si="25"/>
        <v/>
      </c>
      <c r="BJ76" s="18" t="str">
        <f t="shared" si="26"/>
        <v/>
      </c>
      <c r="BK76" s="18" t="str">
        <f t="shared" si="27"/>
        <v/>
      </c>
      <c r="BL76" s="18" t="str">
        <f t="shared" si="28"/>
        <v/>
      </c>
      <c r="BM76" s="18" t="str">
        <f t="shared" si="29"/>
        <v/>
      </c>
      <c r="BN76" s="18" t="str">
        <f t="shared" si="30"/>
        <v/>
      </c>
      <c r="BO76" s="18" t="str">
        <f t="shared" si="31"/>
        <v/>
      </c>
      <c r="BP76" s="18" t="str">
        <f t="shared" si="32"/>
        <v/>
      </c>
      <c r="BQ76" s="16"/>
      <c r="BR76" s="16"/>
      <c r="BS76" s="17"/>
    </row>
    <row r="77" spans="1:71" ht="16.05" customHeight="1" x14ac:dyDescent="0.3">
      <c r="A77" s="16"/>
      <c r="B77" s="16"/>
      <c r="C77" s="17"/>
      <c r="D77" s="17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7" t="str">
        <f t="shared" si="22"/>
        <v/>
      </c>
      <c r="V77" s="17" t="str">
        <f t="shared" si="23"/>
        <v/>
      </c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8" t="str">
        <f>IF($A77="","",ROUND(P77*CONFIGURACION!$B$2+IF(W77&lt;&gt;"",X77*IFERROR(VLOOKUP(W77,'DATOS COSTES POLIAMIDAS'!$A:$G,7,0),0),0)+IF(Y77&lt;&gt;"",Z77*IFERROR(VLOOKUP(Y77,'DATOS COSTES POLIAMIDAS'!$A:$G,7,0),0),0)+IF(AA77&lt;&gt;"",AB77*IFERROR(VLOOKUP(AA77,'DATOS COSTES POLIAMIDAS'!$A:$G,7,0),0),0)+IF(AC77&lt;&gt;"",AD77*IFERROR(VLOOKUP(AC77,'DATOS COSTES POLIAMIDAS'!$A:$G,7,0),0),0)+IF(AE77&lt;&gt;"",IFERROR(VLOOKUP(AE77,'DATOS COSTES MECANIZADOS'!$A:$F,6,0),0),0),4))</f>
        <v/>
      </c>
      <c r="AZ77" s="18" t="str">
        <f>IF($A77="","",ROUND(AY77+R77*CONFIGURACION!$B$6,4))</f>
        <v/>
      </c>
      <c r="BA77" s="18" t="str">
        <f>IF($A77="","",ROUND(AY77+R77*CONFIGURACION!$B$7,4))</f>
        <v/>
      </c>
      <c r="BB77" s="18" t="str">
        <f>IF($A77="","",ROUND(AY77+R77*CONFIGURACION!$B$5,4))</f>
        <v/>
      </c>
      <c r="BC77" s="18" t="str">
        <f>IF($A77="","",ROUND(AY77+R77*CONFIGURACION!$B$10+R77*T77*CONFIGURACION!$B$11,4))</f>
        <v/>
      </c>
      <c r="BD77" s="18" t="str">
        <f>IF($A77="","",ROUND(AY77+R77*CONFIGURACION!$B$8,4))</f>
        <v/>
      </c>
      <c r="BE77" s="18" t="str">
        <f>IF($A77="","",ROUND(AY77+R77*CONFIGURACION!$B$9,4))</f>
        <v/>
      </c>
      <c r="BF77" s="18" t="str">
        <f>IF($A77="","",ROUND(AY77+R77*CONFIGURACION!$B$13,4))</f>
        <v/>
      </c>
      <c r="BG77" s="18" t="str">
        <f>IF($A77="","",ROUND(AY77+R77*CONFIGURACION!$B$12,4))</f>
        <v/>
      </c>
      <c r="BH77" s="18" t="str">
        <f t="shared" si="24"/>
        <v/>
      </c>
      <c r="BI77" s="18" t="str">
        <f t="shared" si="25"/>
        <v/>
      </c>
      <c r="BJ77" s="18" t="str">
        <f t="shared" si="26"/>
        <v/>
      </c>
      <c r="BK77" s="18" t="str">
        <f t="shared" si="27"/>
        <v/>
      </c>
      <c r="BL77" s="18" t="str">
        <f t="shared" si="28"/>
        <v/>
      </c>
      <c r="BM77" s="18" t="str">
        <f t="shared" si="29"/>
        <v/>
      </c>
      <c r="BN77" s="18" t="str">
        <f t="shared" si="30"/>
        <v/>
      </c>
      <c r="BO77" s="18" t="str">
        <f t="shared" si="31"/>
        <v/>
      </c>
      <c r="BP77" s="18" t="str">
        <f t="shared" si="32"/>
        <v/>
      </c>
      <c r="BQ77" s="16"/>
      <c r="BR77" s="16"/>
      <c r="BS77" s="17"/>
    </row>
    <row r="78" spans="1:71" ht="16.05" customHeight="1" x14ac:dyDescent="0.3">
      <c r="A78" s="16"/>
      <c r="B78" s="16"/>
      <c r="C78" s="17"/>
      <c r="D78" s="17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7" t="str">
        <f t="shared" si="22"/>
        <v/>
      </c>
      <c r="V78" s="17" t="str">
        <f t="shared" si="23"/>
        <v/>
      </c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8" t="str">
        <f>IF($A78="","",ROUND(P78*CONFIGURACION!$B$2+IF(W78&lt;&gt;"",X78*IFERROR(VLOOKUP(W78,'DATOS COSTES POLIAMIDAS'!$A:$G,7,0),0),0)+IF(Y78&lt;&gt;"",Z78*IFERROR(VLOOKUP(Y78,'DATOS COSTES POLIAMIDAS'!$A:$G,7,0),0),0)+IF(AA78&lt;&gt;"",AB78*IFERROR(VLOOKUP(AA78,'DATOS COSTES POLIAMIDAS'!$A:$G,7,0),0),0)+IF(AC78&lt;&gt;"",AD78*IFERROR(VLOOKUP(AC78,'DATOS COSTES POLIAMIDAS'!$A:$G,7,0),0),0)+IF(AE78&lt;&gt;"",IFERROR(VLOOKUP(AE78,'DATOS COSTES MECANIZADOS'!$A:$F,6,0),0),0),4))</f>
        <v/>
      </c>
      <c r="AZ78" s="18" t="str">
        <f>IF($A78="","",ROUND(AY78+R78*CONFIGURACION!$B$6,4))</f>
        <v/>
      </c>
      <c r="BA78" s="18" t="str">
        <f>IF($A78="","",ROUND(AY78+R78*CONFIGURACION!$B$7,4))</f>
        <v/>
      </c>
      <c r="BB78" s="18" t="str">
        <f>IF($A78="","",ROUND(AY78+R78*CONFIGURACION!$B$5,4))</f>
        <v/>
      </c>
      <c r="BC78" s="18" t="str">
        <f>IF($A78="","",ROUND(AY78+R78*CONFIGURACION!$B$10+R78*T78*CONFIGURACION!$B$11,4))</f>
        <v/>
      </c>
      <c r="BD78" s="18" t="str">
        <f>IF($A78="","",ROUND(AY78+R78*CONFIGURACION!$B$8,4))</f>
        <v/>
      </c>
      <c r="BE78" s="18" t="str">
        <f>IF($A78="","",ROUND(AY78+R78*CONFIGURACION!$B$9,4))</f>
        <v/>
      </c>
      <c r="BF78" s="18" t="str">
        <f>IF($A78="","",ROUND(AY78+R78*CONFIGURACION!$B$13,4))</f>
        <v/>
      </c>
      <c r="BG78" s="18" t="str">
        <f>IF($A78="","",ROUND(AY78+R78*CONFIGURACION!$B$12,4))</f>
        <v/>
      </c>
      <c r="BH78" s="18" t="str">
        <f t="shared" si="24"/>
        <v/>
      </c>
      <c r="BI78" s="18" t="str">
        <f t="shared" si="25"/>
        <v/>
      </c>
      <c r="BJ78" s="18" t="str">
        <f t="shared" si="26"/>
        <v/>
      </c>
      <c r="BK78" s="18" t="str">
        <f t="shared" si="27"/>
        <v/>
      </c>
      <c r="BL78" s="18" t="str">
        <f t="shared" si="28"/>
        <v/>
      </c>
      <c r="BM78" s="18" t="str">
        <f t="shared" si="29"/>
        <v/>
      </c>
      <c r="BN78" s="18" t="str">
        <f t="shared" si="30"/>
        <v/>
      </c>
      <c r="BO78" s="18" t="str">
        <f t="shared" si="31"/>
        <v/>
      </c>
      <c r="BP78" s="18" t="str">
        <f t="shared" si="32"/>
        <v/>
      </c>
      <c r="BQ78" s="16"/>
      <c r="BR78" s="16"/>
      <c r="BS78" s="17"/>
    </row>
    <row r="79" spans="1:71" ht="16.05" customHeight="1" x14ac:dyDescent="0.3">
      <c r="A79" s="16"/>
      <c r="B79" s="16"/>
      <c r="C79" s="17"/>
      <c r="D79" s="17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7" t="str">
        <f t="shared" si="22"/>
        <v/>
      </c>
      <c r="V79" s="17" t="str">
        <f t="shared" si="23"/>
        <v/>
      </c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8" t="str">
        <f>IF($A79="","",ROUND(P79*CONFIGURACION!$B$2+IF(W79&lt;&gt;"",X79*IFERROR(VLOOKUP(W79,'DATOS COSTES POLIAMIDAS'!$A:$G,7,0),0),0)+IF(Y79&lt;&gt;"",Z79*IFERROR(VLOOKUP(Y79,'DATOS COSTES POLIAMIDAS'!$A:$G,7,0),0),0)+IF(AA79&lt;&gt;"",AB79*IFERROR(VLOOKUP(AA79,'DATOS COSTES POLIAMIDAS'!$A:$G,7,0),0),0)+IF(AC79&lt;&gt;"",AD79*IFERROR(VLOOKUP(AC79,'DATOS COSTES POLIAMIDAS'!$A:$G,7,0),0),0)+IF(AE79&lt;&gt;"",IFERROR(VLOOKUP(AE79,'DATOS COSTES MECANIZADOS'!$A:$F,6,0),0),0),4))</f>
        <v/>
      </c>
      <c r="AZ79" s="18" t="str">
        <f>IF($A79="","",ROUND(AY79+R79*CONFIGURACION!$B$6,4))</f>
        <v/>
      </c>
      <c r="BA79" s="18" t="str">
        <f>IF($A79="","",ROUND(AY79+R79*CONFIGURACION!$B$7,4))</f>
        <v/>
      </c>
      <c r="BB79" s="18" t="str">
        <f>IF($A79="","",ROUND(AY79+R79*CONFIGURACION!$B$5,4))</f>
        <v/>
      </c>
      <c r="BC79" s="18" t="str">
        <f>IF($A79="","",ROUND(AY79+R79*CONFIGURACION!$B$10+R79*T79*CONFIGURACION!$B$11,4))</f>
        <v/>
      </c>
      <c r="BD79" s="18" t="str">
        <f>IF($A79="","",ROUND(AY79+R79*CONFIGURACION!$B$8,4))</f>
        <v/>
      </c>
      <c r="BE79" s="18" t="str">
        <f>IF($A79="","",ROUND(AY79+R79*CONFIGURACION!$B$9,4))</f>
        <v/>
      </c>
      <c r="BF79" s="18" t="str">
        <f>IF($A79="","",ROUND(AY79+R79*CONFIGURACION!$B$13,4))</f>
        <v/>
      </c>
      <c r="BG79" s="18" t="str">
        <f>IF($A79="","",ROUND(AY79+R79*CONFIGURACION!$B$12,4))</f>
        <v/>
      </c>
      <c r="BH79" s="18" t="str">
        <f t="shared" si="24"/>
        <v/>
      </c>
      <c r="BI79" s="18" t="str">
        <f t="shared" si="25"/>
        <v/>
      </c>
      <c r="BJ79" s="18" t="str">
        <f t="shared" si="26"/>
        <v/>
      </c>
      <c r="BK79" s="18" t="str">
        <f t="shared" si="27"/>
        <v/>
      </c>
      <c r="BL79" s="18" t="str">
        <f t="shared" si="28"/>
        <v/>
      </c>
      <c r="BM79" s="18" t="str">
        <f t="shared" si="29"/>
        <v/>
      </c>
      <c r="BN79" s="18" t="str">
        <f t="shared" si="30"/>
        <v/>
      </c>
      <c r="BO79" s="18" t="str">
        <f t="shared" si="31"/>
        <v/>
      </c>
      <c r="BP79" s="18" t="str">
        <f t="shared" si="32"/>
        <v/>
      </c>
      <c r="BQ79" s="16"/>
      <c r="BR79" s="16"/>
      <c r="BS79" s="17"/>
    </row>
    <row r="80" spans="1:71" ht="16.05" customHeight="1" x14ac:dyDescent="0.3">
      <c r="A80" s="16"/>
      <c r="B80" s="16"/>
      <c r="C80" s="17"/>
      <c r="D80" s="17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7" t="str">
        <f t="shared" si="22"/>
        <v/>
      </c>
      <c r="V80" s="17" t="str">
        <f t="shared" si="23"/>
        <v/>
      </c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8" t="str">
        <f>IF($A80="","",ROUND(P80*CONFIGURACION!$B$2+IF(W80&lt;&gt;"",X80*IFERROR(VLOOKUP(W80,'DATOS COSTES POLIAMIDAS'!$A:$G,7,0),0),0)+IF(Y80&lt;&gt;"",Z80*IFERROR(VLOOKUP(Y80,'DATOS COSTES POLIAMIDAS'!$A:$G,7,0),0),0)+IF(AA80&lt;&gt;"",AB80*IFERROR(VLOOKUP(AA80,'DATOS COSTES POLIAMIDAS'!$A:$G,7,0),0),0)+IF(AC80&lt;&gt;"",AD80*IFERROR(VLOOKUP(AC80,'DATOS COSTES POLIAMIDAS'!$A:$G,7,0),0),0)+IF(AE80&lt;&gt;"",IFERROR(VLOOKUP(AE80,'DATOS COSTES MECANIZADOS'!$A:$F,6,0),0),0),4))</f>
        <v/>
      </c>
      <c r="AZ80" s="18" t="str">
        <f>IF($A80="","",ROUND(AY80+R80*CONFIGURACION!$B$6,4))</f>
        <v/>
      </c>
      <c r="BA80" s="18" t="str">
        <f>IF($A80="","",ROUND(AY80+R80*CONFIGURACION!$B$7,4))</f>
        <v/>
      </c>
      <c r="BB80" s="18" t="str">
        <f>IF($A80="","",ROUND(AY80+R80*CONFIGURACION!$B$5,4))</f>
        <v/>
      </c>
      <c r="BC80" s="18" t="str">
        <f>IF($A80="","",ROUND(AY80+R80*CONFIGURACION!$B$10+R80*T80*CONFIGURACION!$B$11,4))</f>
        <v/>
      </c>
      <c r="BD80" s="18" t="str">
        <f>IF($A80="","",ROUND(AY80+R80*CONFIGURACION!$B$8,4))</f>
        <v/>
      </c>
      <c r="BE80" s="18" t="str">
        <f>IF($A80="","",ROUND(AY80+R80*CONFIGURACION!$B$9,4))</f>
        <v/>
      </c>
      <c r="BF80" s="18" t="str">
        <f>IF($A80="","",ROUND(AY80+R80*CONFIGURACION!$B$13,4))</f>
        <v/>
      </c>
      <c r="BG80" s="18" t="str">
        <f>IF($A80="","",ROUND(AY80+R80*CONFIGURACION!$B$12,4))</f>
        <v/>
      </c>
      <c r="BH80" s="18" t="str">
        <f t="shared" si="24"/>
        <v/>
      </c>
      <c r="BI80" s="18" t="str">
        <f t="shared" si="25"/>
        <v/>
      </c>
      <c r="BJ80" s="18" t="str">
        <f t="shared" si="26"/>
        <v/>
      </c>
      <c r="BK80" s="18" t="str">
        <f t="shared" si="27"/>
        <v/>
      </c>
      <c r="BL80" s="18" t="str">
        <f t="shared" si="28"/>
        <v/>
      </c>
      <c r="BM80" s="18" t="str">
        <f t="shared" si="29"/>
        <v/>
      </c>
      <c r="BN80" s="18" t="str">
        <f t="shared" si="30"/>
        <v/>
      </c>
      <c r="BO80" s="18" t="str">
        <f t="shared" si="31"/>
        <v/>
      </c>
      <c r="BP80" s="18" t="str">
        <f t="shared" si="32"/>
        <v/>
      </c>
      <c r="BQ80" s="16"/>
      <c r="BR80" s="16"/>
      <c r="BS80" s="17"/>
    </row>
    <row r="81" spans="1:71" ht="16.05" customHeight="1" x14ac:dyDescent="0.3">
      <c r="A81" s="16"/>
      <c r="B81" s="16"/>
      <c r="C81" s="17"/>
      <c r="D81" s="17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7" t="str">
        <f t="shared" si="22"/>
        <v/>
      </c>
      <c r="V81" s="17" t="str">
        <f t="shared" si="23"/>
        <v/>
      </c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8" t="str">
        <f>IF($A81="","",ROUND(P81*CONFIGURACION!$B$2+IF(W81&lt;&gt;"",X81*IFERROR(VLOOKUP(W81,'DATOS COSTES POLIAMIDAS'!$A:$G,7,0),0),0)+IF(Y81&lt;&gt;"",Z81*IFERROR(VLOOKUP(Y81,'DATOS COSTES POLIAMIDAS'!$A:$G,7,0),0),0)+IF(AA81&lt;&gt;"",AB81*IFERROR(VLOOKUP(AA81,'DATOS COSTES POLIAMIDAS'!$A:$G,7,0),0),0)+IF(AC81&lt;&gt;"",AD81*IFERROR(VLOOKUP(AC81,'DATOS COSTES POLIAMIDAS'!$A:$G,7,0),0),0)+IF(AE81&lt;&gt;"",IFERROR(VLOOKUP(AE81,'DATOS COSTES MECANIZADOS'!$A:$F,6,0),0),0),4))</f>
        <v/>
      </c>
      <c r="AZ81" s="18" t="str">
        <f>IF($A81="","",ROUND(AY81+R81*CONFIGURACION!$B$6,4))</f>
        <v/>
      </c>
      <c r="BA81" s="18" t="str">
        <f>IF($A81="","",ROUND(AY81+R81*CONFIGURACION!$B$7,4))</f>
        <v/>
      </c>
      <c r="BB81" s="18" t="str">
        <f>IF($A81="","",ROUND(AY81+R81*CONFIGURACION!$B$5,4))</f>
        <v/>
      </c>
      <c r="BC81" s="18" t="str">
        <f>IF($A81="","",ROUND(AY81+R81*CONFIGURACION!$B$10+R81*T81*CONFIGURACION!$B$11,4))</f>
        <v/>
      </c>
      <c r="BD81" s="18" t="str">
        <f>IF($A81="","",ROUND(AY81+R81*CONFIGURACION!$B$8,4))</f>
        <v/>
      </c>
      <c r="BE81" s="18" t="str">
        <f>IF($A81="","",ROUND(AY81+R81*CONFIGURACION!$B$9,4))</f>
        <v/>
      </c>
      <c r="BF81" s="18" t="str">
        <f>IF($A81="","",ROUND(AY81+R81*CONFIGURACION!$B$13,4))</f>
        <v/>
      </c>
      <c r="BG81" s="18" t="str">
        <f>IF($A81="","",ROUND(AY81+R81*CONFIGURACION!$B$12,4))</f>
        <v/>
      </c>
      <c r="BH81" s="18" t="str">
        <f t="shared" si="24"/>
        <v/>
      </c>
      <c r="BI81" s="18" t="str">
        <f t="shared" si="25"/>
        <v/>
      </c>
      <c r="BJ81" s="18" t="str">
        <f t="shared" si="26"/>
        <v/>
      </c>
      <c r="BK81" s="18" t="str">
        <f t="shared" si="27"/>
        <v/>
      </c>
      <c r="BL81" s="18" t="str">
        <f t="shared" si="28"/>
        <v/>
      </c>
      <c r="BM81" s="18" t="str">
        <f t="shared" si="29"/>
        <v/>
      </c>
      <c r="BN81" s="18" t="str">
        <f t="shared" si="30"/>
        <v/>
      </c>
      <c r="BO81" s="18" t="str">
        <f t="shared" si="31"/>
        <v/>
      </c>
      <c r="BP81" s="18" t="str">
        <f t="shared" si="32"/>
        <v/>
      </c>
      <c r="BQ81" s="16"/>
      <c r="BR81" s="16"/>
      <c r="BS81" s="17"/>
    </row>
    <row r="82" spans="1:71" ht="16.05" customHeight="1" x14ac:dyDescent="0.3">
      <c r="A82" s="16"/>
      <c r="B82" s="16"/>
      <c r="C82" s="17"/>
      <c r="D82" s="17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7" t="str">
        <f t="shared" si="22"/>
        <v/>
      </c>
      <c r="V82" s="17" t="str">
        <f t="shared" si="23"/>
        <v/>
      </c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8" t="str">
        <f>IF($A82="","",ROUND(P82*CONFIGURACION!$B$2+IF(W82&lt;&gt;"",X82*IFERROR(VLOOKUP(W82,'DATOS COSTES POLIAMIDAS'!$A:$G,7,0),0),0)+IF(Y82&lt;&gt;"",Z82*IFERROR(VLOOKUP(Y82,'DATOS COSTES POLIAMIDAS'!$A:$G,7,0),0),0)+IF(AA82&lt;&gt;"",AB82*IFERROR(VLOOKUP(AA82,'DATOS COSTES POLIAMIDAS'!$A:$G,7,0),0),0)+IF(AC82&lt;&gt;"",AD82*IFERROR(VLOOKUP(AC82,'DATOS COSTES POLIAMIDAS'!$A:$G,7,0),0),0)+IF(AE82&lt;&gt;"",IFERROR(VLOOKUP(AE82,'DATOS COSTES MECANIZADOS'!$A:$F,6,0),0),0),4))</f>
        <v/>
      </c>
      <c r="AZ82" s="18" t="str">
        <f>IF($A82="","",ROUND(AY82+R82*CONFIGURACION!$B$6,4))</f>
        <v/>
      </c>
      <c r="BA82" s="18" t="str">
        <f>IF($A82="","",ROUND(AY82+R82*CONFIGURACION!$B$7,4))</f>
        <v/>
      </c>
      <c r="BB82" s="18" t="str">
        <f>IF($A82="","",ROUND(AY82+R82*CONFIGURACION!$B$5,4))</f>
        <v/>
      </c>
      <c r="BC82" s="18" t="str">
        <f>IF($A82="","",ROUND(AY82+R82*CONFIGURACION!$B$10+R82*T82*CONFIGURACION!$B$11,4))</f>
        <v/>
      </c>
      <c r="BD82" s="18" t="str">
        <f>IF($A82="","",ROUND(AY82+R82*CONFIGURACION!$B$8,4))</f>
        <v/>
      </c>
      <c r="BE82" s="18" t="str">
        <f>IF($A82="","",ROUND(AY82+R82*CONFIGURACION!$B$9,4))</f>
        <v/>
      </c>
      <c r="BF82" s="18" t="str">
        <f>IF($A82="","",ROUND(AY82+R82*CONFIGURACION!$B$13,4))</f>
        <v/>
      </c>
      <c r="BG82" s="18" t="str">
        <f>IF($A82="","",ROUND(AY82+R82*CONFIGURACION!$B$12,4))</f>
        <v/>
      </c>
      <c r="BH82" s="18" t="str">
        <f t="shared" si="24"/>
        <v/>
      </c>
      <c r="BI82" s="18" t="str">
        <f t="shared" si="25"/>
        <v/>
      </c>
      <c r="BJ82" s="18" t="str">
        <f t="shared" si="26"/>
        <v/>
      </c>
      <c r="BK82" s="18" t="str">
        <f t="shared" si="27"/>
        <v/>
      </c>
      <c r="BL82" s="18" t="str">
        <f t="shared" si="28"/>
        <v/>
      </c>
      <c r="BM82" s="18" t="str">
        <f t="shared" si="29"/>
        <v/>
      </c>
      <c r="BN82" s="18" t="str">
        <f t="shared" si="30"/>
        <v/>
      </c>
      <c r="BO82" s="18" t="str">
        <f t="shared" si="31"/>
        <v/>
      </c>
      <c r="BP82" s="18" t="str">
        <f t="shared" si="32"/>
        <v/>
      </c>
      <c r="BQ82" s="16"/>
      <c r="BR82" s="16"/>
      <c r="BS82" s="17"/>
    </row>
    <row r="83" spans="1:71" ht="16.05" customHeight="1" x14ac:dyDescent="0.3">
      <c r="A83" s="16"/>
      <c r="B83" s="16"/>
      <c r="C83" s="17"/>
      <c r="D83" s="17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7" t="str">
        <f t="shared" si="22"/>
        <v/>
      </c>
      <c r="V83" s="17" t="str">
        <f t="shared" si="23"/>
        <v/>
      </c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8" t="str">
        <f>IF($A83="","",ROUND(P83*CONFIGURACION!$B$2+IF(W83&lt;&gt;"",X83*IFERROR(VLOOKUP(W83,'DATOS COSTES POLIAMIDAS'!$A:$G,7,0),0),0)+IF(Y83&lt;&gt;"",Z83*IFERROR(VLOOKUP(Y83,'DATOS COSTES POLIAMIDAS'!$A:$G,7,0),0),0)+IF(AA83&lt;&gt;"",AB83*IFERROR(VLOOKUP(AA83,'DATOS COSTES POLIAMIDAS'!$A:$G,7,0),0),0)+IF(AC83&lt;&gt;"",AD83*IFERROR(VLOOKUP(AC83,'DATOS COSTES POLIAMIDAS'!$A:$G,7,0),0),0)+IF(AE83&lt;&gt;"",IFERROR(VLOOKUP(AE83,'DATOS COSTES MECANIZADOS'!$A:$F,6,0),0),0),4))</f>
        <v/>
      </c>
      <c r="AZ83" s="18" t="str">
        <f>IF($A83="","",ROUND(AY83+R83*CONFIGURACION!$B$6,4))</f>
        <v/>
      </c>
      <c r="BA83" s="18" t="str">
        <f>IF($A83="","",ROUND(AY83+R83*CONFIGURACION!$B$7,4))</f>
        <v/>
      </c>
      <c r="BB83" s="18" t="str">
        <f>IF($A83="","",ROUND(AY83+R83*CONFIGURACION!$B$5,4))</f>
        <v/>
      </c>
      <c r="BC83" s="18" t="str">
        <f>IF($A83="","",ROUND(AY83+R83*CONFIGURACION!$B$10+R83*T83*CONFIGURACION!$B$11,4))</f>
        <v/>
      </c>
      <c r="BD83" s="18" t="str">
        <f>IF($A83="","",ROUND(AY83+R83*CONFIGURACION!$B$8,4))</f>
        <v/>
      </c>
      <c r="BE83" s="18" t="str">
        <f>IF($A83="","",ROUND(AY83+R83*CONFIGURACION!$B$9,4))</f>
        <v/>
      </c>
      <c r="BF83" s="18" t="str">
        <f>IF($A83="","",ROUND(AY83+R83*CONFIGURACION!$B$13,4))</f>
        <v/>
      </c>
      <c r="BG83" s="18" t="str">
        <f>IF($A83="","",ROUND(AY83+R83*CONFIGURACION!$B$12,4))</f>
        <v/>
      </c>
      <c r="BH83" s="18" t="str">
        <f t="shared" si="24"/>
        <v/>
      </c>
      <c r="BI83" s="18" t="str">
        <f t="shared" si="25"/>
        <v/>
      </c>
      <c r="BJ83" s="18" t="str">
        <f t="shared" si="26"/>
        <v/>
      </c>
      <c r="BK83" s="18" t="str">
        <f t="shared" si="27"/>
        <v/>
      </c>
      <c r="BL83" s="18" t="str">
        <f t="shared" si="28"/>
        <v/>
      </c>
      <c r="BM83" s="18" t="str">
        <f t="shared" si="29"/>
        <v/>
      </c>
      <c r="BN83" s="18" t="str">
        <f t="shared" si="30"/>
        <v/>
      </c>
      <c r="BO83" s="18" t="str">
        <f t="shared" si="31"/>
        <v/>
      </c>
      <c r="BP83" s="18" t="str">
        <f t="shared" si="32"/>
        <v/>
      </c>
      <c r="BQ83" s="16"/>
      <c r="BR83" s="16"/>
      <c r="BS83" s="17"/>
    </row>
    <row r="84" spans="1:71" ht="16.05" customHeight="1" x14ac:dyDescent="0.3">
      <c r="A84" s="16"/>
      <c r="B84" s="16"/>
      <c r="C84" s="17"/>
      <c r="D84" s="17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7" t="str">
        <f t="shared" si="22"/>
        <v/>
      </c>
      <c r="V84" s="17" t="str">
        <f t="shared" si="23"/>
        <v/>
      </c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8" t="str">
        <f>IF($A84="","",ROUND(P84*CONFIGURACION!$B$2+IF(W84&lt;&gt;"",X84*IFERROR(VLOOKUP(W84,'DATOS COSTES POLIAMIDAS'!$A:$G,7,0),0),0)+IF(Y84&lt;&gt;"",Z84*IFERROR(VLOOKUP(Y84,'DATOS COSTES POLIAMIDAS'!$A:$G,7,0),0),0)+IF(AA84&lt;&gt;"",AB84*IFERROR(VLOOKUP(AA84,'DATOS COSTES POLIAMIDAS'!$A:$G,7,0),0),0)+IF(AC84&lt;&gt;"",AD84*IFERROR(VLOOKUP(AC84,'DATOS COSTES POLIAMIDAS'!$A:$G,7,0),0),0)+IF(AE84&lt;&gt;"",IFERROR(VLOOKUP(AE84,'DATOS COSTES MECANIZADOS'!$A:$F,6,0),0),0),4))</f>
        <v/>
      </c>
      <c r="AZ84" s="18" t="str">
        <f>IF($A84="","",ROUND(AY84+R84*CONFIGURACION!$B$6,4))</f>
        <v/>
      </c>
      <c r="BA84" s="18" t="str">
        <f>IF($A84="","",ROUND(AY84+R84*CONFIGURACION!$B$7,4))</f>
        <v/>
      </c>
      <c r="BB84" s="18" t="str">
        <f>IF($A84="","",ROUND(AY84+R84*CONFIGURACION!$B$5,4))</f>
        <v/>
      </c>
      <c r="BC84" s="18" t="str">
        <f>IF($A84="","",ROUND(AY84+R84*CONFIGURACION!$B$10+R84*T84*CONFIGURACION!$B$11,4))</f>
        <v/>
      </c>
      <c r="BD84" s="18" t="str">
        <f>IF($A84="","",ROUND(AY84+R84*CONFIGURACION!$B$8,4))</f>
        <v/>
      </c>
      <c r="BE84" s="18" t="str">
        <f>IF($A84="","",ROUND(AY84+R84*CONFIGURACION!$B$9,4))</f>
        <v/>
      </c>
      <c r="BF84" s="18" t="str">
        <f>IF($A84="","",ROUND(AY84+R84*CONFIGURACION!$B$13,4))</f>
        <v/>
      </c>
      <c r="BG84" s="18" t="str">
        <f>IF($A84="","",ROUND(AY84+R84*CONFIGURACION!$B$12,4))</f>
        <v/>
      </c>
      <c r="BH84" s="18" t="str">
        <f t="shared" si="24"/>
        <v/>
      </c>
      <c r="BI84" s="18" t="str">
        <f t="shared" si="25"/>
        <v/>
      </c>
      <c r="BJ84" s="18" t="str">
        <f t="shared" si="26"/>
        <v/>
      </c>
      <c r="BK84" s="18" t="str">
        <f t="shared" si="27"/>
        <v/>
      </c>
      <c r="BL84" s="18" t="str">
        <f t="shared" si="28"/>
        <v/>
      </c>
      <c r="BM84" s="18" t="str">
        <f t="shared" si="29"/>
        <v/>
      </c>
      <c r="BN84" s="18" t="str">
        <f t="shared" si="30"/>
        <v/>
      </c>
      <c r="BO84" s="18" t="str">
        <f t="shared" si="31"/>
        <v/>
      </c>
      <c r="BP84" s="18" t="str">
        <f t="shared" si="32"/>
        <v/>
      </c>
      <c r="BQ84" s="16"/>
      <c r="BR84" s="16"/>
      <c r="BS84" s="17"/>
    </row>
    <row r="85" spans="1:71" ht="16.05" customHeight="1" x14ac:dyDescent="0.3">
      <c r="A85" s="16"/>
      <c r="B85" s="16"/>
      <c r="C85" s="17"/>
      <c r="D85" s="17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7" t="str">
        <f t="shared" si="22"/>
        <v/>
      </c>
      <c r="V85" s="17" t="str">
        <f t="shared" si="23"/>
        <v/>
      </c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8" t="str">
        <f>IF($A85="","",ROUND(P85*CONFIGURACION!$B$2+IF(W85&lt;&gt;"",X85*IFERROR(VLOOKUP(W85,'DATOS COSTES POLIAMIDAS'!$A:$G,7,0),0),0)+IF(Y85&lt;&gt;"",Z85*IFERROR(VLOOKUP(Y85,'DATOS COSTES POLIAMIDAS'!$A:$G,7,0),0),0)+IF(AA85&lt;&gt;"",AB85*IFERROR(VLOOKUP(AA85,'DATOS COSTES POLIAMIDAS'!$A:$G,7,0),0),0)+IF(AC85&lt;&gt;"",AD85*IFERROR(VLOOKUP(AC85,'DATOS COSTES POLIAMIDAS'!$A:$G,7,0),0),0)+IF(AE85&lt;&gt;"",IFERROR(VLOOKUP(AE85,'DATOS COSTES MECANIZADOS'!$A:$F,6,0),0),0),4))</f>
        <v/>
      </c>
      <c r="AZ85" s="18" t="str">
        <f>IF($A85="","",ROUND(AY85+R85*CONFIGURACION!$B$6,4))</f>
        <v/>
      </c>
      <c r="BA85" s="18" t="str">
        <f>IF($A85="","",ROUND(AY85+R85*CONFIGURACION!$B$7,4))</f>
        <v/>
      </c>
      <c r="BB85" s="18" t="str">
        <f>IF($A85="","",ROUND(AY85+R85*CONFIGURACION!$B$5,4))</f>
        <v/>
      </c>
      <c r="BC85" s="18" t="str">
        <f>IF($A85="","",ROUND(AY85+R85*CONFIGURACION!$B$10+R85*T85*CONFIGURACION!$B$11,4))</f>
        <v/>
      </c>
      <c r="BD85" s="18" t="str">
        <f>IF($A85="","",ROUND(AY85+R85*CONFIGURACION!$B$8,4))</f>
        <v/>
      </c>
      <c r="BE85" s="18" t="str">
        <f>IF($A85="","",ROUND(AY85+R85*CONFIGURACION!$B$9,4))</f>
        <v/>
      </c>
      <c r="BF85" s="18" t="str">
        <f>IF($A85="","",ROUND(AY85+R85*CONFIGURACION!$B$13,4))</f>
        <v/>
      </c>
      <c r="BG85" s="18" t="str">
        <f>IF($A85="","",ROUND(AY85+R85*CONFIGURACION!$B$12,4))</f>
        <v/>
      </c>
      <c r="BH85" s="18" t="str">
        <f t="shared" si="24"/>
        <v/>
      </c>
      <c r="BI85" s="18" t="str">
        <f t="shared" si="25"/>
        <v/>
      </c>
      <c r="BJ85" s="18" t="str">
        <f t="shared" si="26"/>
        <v/>
      </c>
      <c r="BK85" s="18" t="str">
        <f t="shared" si="27"/>
        <v/>
      </c>
      <c r="BL85" s="18" t="str">
        <f t="shared" si="28"/>
        <v/>
      </c>
      <c r="BM85" s="18" t="str">
        <f t="shared" si="29"/>
        <v/>
      </c>
      <c r="BN85" s="18" t="str">
        <f t="shared" si="30"/>
        <v/>
      </c>
      <c r="BO85" s="18" t="str">
        <f t="shared" si="31"/>
        <v/>
      </c>
      <c r="BP85" s="18" t="str">
        <f t="shared" si="32"/>
        <v/>
      </c>
      <c r="BQ85" s="16"/>
      <c r="BR85" s="16"/>
      <c r="BS85" s="17"/>
    </row>
    <row r="86" spans="1:71" ht="16.05" customHeight="1" x14ac:dyDescent="0.3">
      <c r="A86" s="16"/>
      <c r="B86" s="16"/>
      <c r="C86" s="17"/>
      <c r="D86" s="17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7" t="str">
        <f t="shared" si="22"/>
        <v/>
      </c>
      <c r="V86" s="17" t="str">
        <f t="shared" si="23"/>
        <v/>
      </c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8" t="str">
        <f>IF($A86="","",ROUND(P86*CONFIGURACION!$B$2+IF(W86&lt;&gt;"",X86*IFERROR(VLOOKUP(W86,'DATOS COSTES POLIAMIDAS'!$A:$G,7,0),0),0)+IF(Y86&lt;&gt;"",Z86*IFERROR(VLOOKUP(Y86,'DATOS COSTES POLIAMIDAS'!$A:$G,7,0),0),0)+IF(AA86&lt;&gt;"",AB86*IFERROR(VLOOKUP(AA86,'DATOS COSTES POLIAMIDAS'!$A:$G,7,0),0),0)+IF(AC86&lt;&gt;"",AD86*IFERROR(VLOOKUP(AC86,'DATOS COSTES POLIAMIDAS'!$A:$G,7,0),0),0)+IF(AE86&lt;&gt;"",IFERROR(VLOOKUP(AE86,'DATOS COSTES MECANIZADOS'!$A:$F,6,0),0),0),4))</f>
        <v/>
      </c>
      <c r="AZ86" s="18" t="str">
        <f>IF($A86="","",ROUND(AY86+R86*CONFIGURACION!$B$6,4))</f>
        <v/>
      </c>
      <c r="BA86" s="18" t="str">
        <f>IF($A86="","",ROUND(AY86+R86*CONFIGURACION!$B$7,4))</f>
        <v/>
      </c>
      <c r="BB86" s="18" t="str">
        <f>IF($A86="","",ROUND(AY86+R86*CONFIGURACION!$B$5,4))</f>
        <v/>
      </c>
      <c r="BC86" s="18" t="str">
        <f>IF($A86="","",ROUND(AY86+R86*CONFIGURACION!$B$10+R86*T86*CONFIGURACION!$B$11,4))</f>
        <v/>
      </c>
      <c r="BD86" s="18" t="str">
        <f>IF($A86="","",ROUND(AY86+R86*CONFIGURACION!$B$8,4))</f>
        <v/>
      </c>
      <c r="BE86" s="18" t="str">
        <f>IF($A86="","",ROUND(AY86+R86*CONFIGURACION!$B$9,4))</f>
        <v/>
      </c>
      <c r="BF86" s="18" t="str">
        <f>IF($A86="","",ROUND(AY86+R86*CONFIGURACION!$B$13,4))</f>
        <v/>
      </c>
      <c r="BG86" s="18" t="str">
        <f>IF($A86="","",ROUND(AY86+R86*CONFIGURACION!$B$12,4))</f>
        <v/>
      </c>
      <c r="BH86" s="18" t="str">
        <f t="shared" si="24"/>
        <v/>
      </c>
      <c r="BI86" s="18" t="str">
        <f t="shared" si="25"/>
        <v/>
      </c>
      <c r="BJ86" s="18" t="str">
        <f t="shared" si="26"/>
        <v/>
      </c>
      <c r="BK86" s="18" t="str">
        <f t="shared" si="27"/>
        <v/>
      </c>
      <c r="BL86" s="18" t="str">
        <f t="shared" si="28"/>
        <v/>
      </c>
      <c r="BM86" s="18" t="str">
        <f t="shared" si="29"/>
        <v/>
      </c>
      <c r="BN86" s="18" t="str">
        <f t="shared" si="30"/>
        <v/>
      </c>
      <c r="BO86" s="18" t="str">
        <f t="shared" si="31"/>
        <v/>
      </c>
      <c r="BP86" s="18" t="str">
        <f t="shared" si="32"/>
        <v/>
      </c>
      <c r="BQ86" s="16"/>
      <c r="BR86" s="16"/>
      <c r="BS86" s="17"/>
    </row>
    <row r="87" spans="1:71" ht="16.05" customHeight="1" x14ac:dyDescent="0.3">
      <c r="A87" s="16"/>
      <c r="B87" s="16"/>
      <c r="C87" s="17"/>
      <c r="D87" s="17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7" t="str">
        <f t="shared" si="22"/>
        <v/>
      </c>
      <c r="V87" s="17" t="str">
        <f t="shared" si="23"/>
        <v/>
      </c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8" t="str">
        <f>IF($A87="","",ROUND(P87*CONFIGURACION!$B$2+IF(W87&lt;&gt;"",X87*IFERROR(VLOOKUP(W87,'DATOS COSTES POLIAMIDAS'!$A:$G,7,0),0),0)+IF(Y87&lt;&gt;"",Z87*IFERROR(VLOOKUP(Y87,'DATOS COSTES POLIAMIDAS'!$A:$G,7,0),0),0)+IF(AA87&lt;&gt;"",AB87*IFERROR(VLOOKUP(AA87,'DATOS COSTES POLIAMIDAS'!$A:$G,7,0),0),0)+IF(AC87&lt;&gt;"",AD87*IFERROR(VLOOKUP(AC87,'DATOS COSTES POLIAMIDAS'!$A:$G,7,0),0),0)+IF(AE87&lt;&gt;"",IFERROR(VLOOKUP(AE87,'DATOS COSTES MECANIZADOS'!$A:$F,6,0),0),0),4))</f>
        <v/>
      </c>
      <c r="AZ87" s="18" t="str">
        <f>IF($A87="","",ROUND(AY87+R87*CONFIGURACION!$B$6,4))</f>
        <v/>
      </c>
      <c r="BA87" s="18" t="str">
        <f>IF($A87="","",ROUND(AY87+R87*CONFIGURACION!$B$7,4))</f>
        <v/>
      </c>
      <c r="BB87" s="18" t="str">
        <f>IF($A87="","",ROUND(AY87+R87*CONFIGURACION!$B$5,4))</f>
        <v/>
      </c>
      <c r="BC87" s="18" t="str">
        <f>IF($A87="","",ROUND(AY87+R87*CONFIGURACION!$B$10+R87*T87*CONFIGURACION!$B$11,4))</f>
        <v/>
      </c>
      <c r="BD87" s="18" t="str">
        <f>IF($A87="","",ROUND(AY87+R87*CONFIGURACION!$B$8,4))</f>
        <v/>
      </c>
      <c r="BE87" s="18" t="str">
        <f>IF($A87="","",ROUND(AY87+R87*CONFIGURACION!$B$9,4))</f>
        <v/>
      </c>
      <c r="BF87" s="18" t="str">
        <f>IF($A87="","",ROUND(AY87+R87*CONFIGURACION!$B$13,4))</f>
        <v/>
      </c>
      <c r="BG87" s="18" t="str">
        <f>IF($A87="","",ROUND(AY87+R87*CONFIGURACION!$B$12,4))</f>
        <v/>
      </c>
      <c r="BH87" s="18" t="str">
        <f t="shared" si="24"/>
        <v/>
      </c>
      <c r="BI87" s="18" t="str">
        <f t="shared" si="25"/>
        <v/>
      </c>
      <c r="BJ87" s="18" t="str">
        <f t="shared" si="26"/>
        <v/>
      </c>
      <c r="BK87" s="18" t="str">
        <f t="shared" si="27"/>
        <v/>
      </c>
      <c r="BL87" s="18" t="str">
        <f t="shared" si="28"/>
        <v/>
      </c>
      <c r="BM87" s="18" t="str">
        <f t="shared" si="29"/>
        <v/>
      </c>
      <c r="BN87" s="18" t="str">
        <f t="shared" si="30"/>
        <v/>
      </c>
      <c r="BO87" s="18" t="str">
        <f t="shared" si="31"/>
        <v/>
      </c>
      <c r="BP87" s="18" t="str">
        <f t="shared" si="32"/>
        <v/>
      </c>
      <c r="BQ87" s="16"/>
      <c r="BR87" s="16"/>
      <c r="BS87" s="17"/>
    </row>
    <row r="88" spans="1:71" ht="16.05" customHeight="1" x14ac:dyDescent="0.3">
      <c r="A88" s="16"/>
      <c r="B88" s="16"/>
      <c r="C88" s="17"/>
      <c r="D88" s="17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7" t="str">
        <f t="shared" si="22"/>
        <v/>
      </c>
      <c r="V88" s="17" t="str">
        <f t="shared" si="23"/>
        <v/>
      </c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8" t="str">
        <f>IF($A88="","",ROUND(P88*CONFIGURACION!$B$2+IF(W88&lt;&gt;"",X88*IFERROR(VLOOKUP(W88,'DATOS COSTES POLIAMIDAS'!$A:$G,7,0),0),0)+IF(Y88&lt;&gt;"",Z88*IFERROR(VLOOKUP(Y88,'DATOS COSTES POLIAMIDAS'!$A:$G,7,0),0),0)+IF(AA88&lt;&gt;"",AB88*IFERROR(VLOOKUP(AA88,'DATOS COSTES POLIAMIDAS'!$A:$G,7,0),0),0)+IF(AC88&lt;&gt;"",AD88*IFERROR(VLOOKUP(AC88,'DATOS COSTES POLIAMIDAS'!$A:$G,7,0),0),0)+IF(AE88&lt;&gt;"",IFERROR(VLOOKUP(AE88,'DATOS COSTES MECANIZADOS'!$A:$F,6,0),0),0),4))</f>
        <v/>
      </c>
      <c r="AZ88" s="18" t="str">
        <f>IF($A88="","",ROUND(AY88+R88*CONFIGURACION!$B$6,4))</f>
        <v/>
      </c>
      <c r="BA88" s="18" t="str">
        <f>IF($A88="","",ROUND(AY88+R88*CONFIGURACION!$B$7,4))</f>
        <v/>
      </c>
      <c r="BB88" s="18" t="str">
        <f>IF($A88="","",ROUND(AY88+R88*CONFIGURACION!$B$5,4))</f>
        <v/>
      </c>
      <c r="BC88" s="18" t="str">
        <f>IF($A88="","",ROUND(AY88+R88*CONFIGURACION!$B$10+R88*T88*CONFIGURACION!$B$11,4))</f>
        <v/>
      </c>
      <c r="BD88" s="18" t="str">
        <f>IF($A88="","",ROUND(AY88+R88*CONFIGURACION!$B$8,4))</f>
        <v/>
      </c>
      <c r="BE88" s="18" t="str">
        <f>IF($A88="","",ROUND(AY88+R88*CONFIGURACION!$B$9,4))</f>
        <v/>
      </c>
      <c r="BF88" s="18" t="str">
        <f>IF($A88="","",ROUND(AY88+R88*CONFIGURACION!$B$13,4))</f>
        <v/>
      </c>
      <c r="BG88" s="18" t="str">
        <f>IF($A88="","",ROUND(AY88+R88*CONFIGURACION!$B$12,4))</f>
        <v/>
      </c>
      <c r="BH88" s="18" t="str">
        <f t="shared" si="24"/>
        <v/>
      </c>
      <c r="BI88" s="18" t="str">
        <f t="shared" si="25"/>
        <v/>
      </c>
      <c r="BJ88" s="18" t="str">
        <f t="shared" si="26"/>
        <v/>
      </c>
      <c r="BK88" s="18" t="str">
        <f t="shared" si="27"/>
        <v/>
      </c>
      <c r="BL88" s="18" t="str">
        <f t="shared" si="28"/>
        <v/>
      </c>
      <c r="BM88" s="18" t="str">
        <f t="shared" si="29"/>
        <v/>
      </c>
      <c r="BN88" s="18" t="str">
        <f t="shared" si="30"/>
        <v/>
      </c>
      <c r="BO88" s="18" t="str">
        <f t="shared" si="31"/>
        <v/>
      </c>
      <c r="BP88" s="18" t="str">
        <f t="shared" si="32"/>
        <v/>
      </c>
      <c r="BQ88" s="16"/>
      <c r="BR88" s="16"/>
      <c r="BS88" s="17"/>
    </row>
    <row r="89" spans="1:71" ht="16.05" customHeight="1" x14ac:dyDescent="0.3">
      <c r="A89" s="16"/>
      <c r="B89" s="16"/>
      <c r="C89" s="17"/>
      <c r="D89" s="17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7" t="str">
        <f t="shared" si="22"/>
        <v/>
      </c>
      <c r="V89" s="17" t="str">
        <f t="shared" si="23"/>
        <v/>
      </c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8" t="str">
        <f>IF($A89="","",ROUND(P89*CONFIGURACION!$B$2+IF(W89&lt;&gt;"",X89*IFERROR(VLOOKUP(W89,'DATOS COSTES POLIAMIDAS'!$A:$G,7,0),0),0)+IF(Y89&lt;&gt;"",Z89*IFERROR(VLOOKUP(Y89,'DATOS COSTES POLIAMIDAS'!$A:$G,7,0),0),0)+IF(AA89&lt;&gt;"",AB89*IFERROR(VLOOKUP(AA89,'DATOS COSTES POLIAMIDAS'!$A:$G,7,0),0),0)+IF(AC89&lt;&gt;"",AD89*IFERROR(VLOOKUP(AC89,'DATOS COSTES POLIAMIDAS'!$A:$G,7,0),0),0)+IF(AE89&lt;&gt;"",IFERROR(VLOOKUP(AE89,'DATOS COSTES MECANIZADOS'!$A:$F,6,0),0),0),4))</f>
        <v/>
      </c>
      <c r="AZ89" s="18" t="str">
        <f>IF($A89="","",ROUND(AY89+R89*CONFIGURACION!$B$6,4))</f>
        <v/>
      </c>
      <c r="BA89" s="18" t="str">
        <f>IF($A89="","",ROUND(AY89+R89*CONFIGURACION!$B$7,4))</f>
        <v/>
      </c>
      <c r="BB89" s="18" t="str">
        <f>IF($A89="","",ROUND(AY89+R89*CONFIGURACION!$B$5,4))</f>
        <v/>
      </c>
      <c r="BC89" s="18" t="str">
        <f>IF($A89="","",ROUND(AY89+R89*CONFIGURACION!$B$10+R89*T89*CONFIGURACION!$B$11,4))</f>
        <v/>
      </c>
      <c r="BD89" s="18" t="str">
        <f>IF($A89="","",ROUND(AY89+R89*CONFIGURACION!$B$8,4))</f>
        <v/>
      </c>
      <c r="BE89" s="18" t="str">
        <f>IF($A89="","",ROUND(AY89+R89*CONFIGURACION!$B$9,4))</f>
        <v/>
      </c>
      <c r="BF89" s="18" t="str">
        <f>IF($A89="","",ROUND(AY89+R89*CONFIGURACION!$B$13,4))</f>
        <v/>
      </c>
      <c r="BG89" s="18" t="str">
        <f>IF($A89="","",ROUND(AY89+R89*CONFIGURACION!$B$12,4))</f>
        <v/>
      </c>
      <c r="BH89" s="18" t="str">
        <f t="shared" si="24"/>
        <v/>
      </c>
      <c r="BI89" s="18" t="str">
        <f t="shared" si="25"/>
        <v/>
      </c>
      <c r="BJ89" s="18" t="str">
        <f t="shared" si="26"/>
        <v/>
      </c>
      <c r="BK89" s="18" t="str">
        <f t="shared" si="27"/>
        <v/>
      </c>
      <c r="BL89" s="18" t="str">
        <f t="shared" si="28"/>
        <v/>
      </c>
      <c r="BM89" s="18" t="str">
        <f t="shared" si="29"/>
        <v/>
      </c>
      <c r="BN89" s="18" t="str">
        <f t="shared" si="30"/>
        <v/>
      </c>
      <c r="BO89" s="18" t="str">
        <f t="shared" si="31"/>
        <v/>
      </c>
      <c r="BP89" s="18" t="str">
        <f t="shared" si="32"/>
        <v/>
      </c>
      <c r="BQ89" s="16"/>
      <c r="BR89" s="16"/>
      <c r="BS89" s="17"/>
    </row>
    <row r="90" spans="1:71" ht="16.05" customHeight="1" x14ac:dyDescent="0.3">
      <c r="A90" s="16"/>
      <c r="B90" s="16"/>
      <c r="C90" s="17"/>
      <c r="D90" s="17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7" t="str">
        <f t="shared" si="22"/>
        <v/>
      </c>
      <c r="V90" s="17" t="str">
        <f t="shared" si="23"/>
        <v/>
      </c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8" t="str">
        <f>IF($A90="","",ROUND(P90*CONFIGURACION!$B$2+IF(W90&lt;&gt;"",X90*IFERROR(VLOOKUP(W90,'DATOS COSTES POLIAMIDAS'!$A:$G,7,0),0),0)+IF(Y90&lt;&gt;"",Z90*IFERROR(VLOOKUP(Y90,'DATOS COSTES POLIAMIDAS'!$A:$G,7,0),0),0)+IF(AA90&lt;&gt;"",AB90*IFERROR(VLOOKUP(AA90,'DATOS COSTES POLIAMIDAS'!$A:$G,7,0),0),0)+IF(AC90&lt;&gt;"",AD90*IFERROR(VLOOKUP(AC90,'DATOS COSTES POLIAMIDAS'!$A:$G,7,0),0),0)+IF(AE90&lt;&gt;"",IFERROR(VLOOKUP(AE90,'DATOS COSTES MECANIZADOS'!$A:$F,6,0),0),0),4))</f>
        <v/>
      </c>
      <c r="AZ90" s="18" t="str">
        <f>IF($A90="","",ROUND(AY90+R90*CONFIGURACION!$B$6,4))</f>
        <v/>
      </c>
      <c r="BA90" s="18" t="str">
        <f>IF($A90="","",ROUND(AY90+R90*CONFIGURACION!$B$7,4))</f>
        <v/>
      </c>
      <c r="BB90" s="18" t="str">
        <f>IF($A90="","",ROUND(AY90+R90*CONFIGURACION!$B$5,4))</f>
        <v/>
      </c>
      <c r="BC90" s="18" t="str">
        <f>IF($A90="","",ROUND(AY90+R90*CONFIGURACION!$B$10+R90*T90*CONFIGURACION!$B$11,4))</f>
        <v/>
      </c>
      <c r="BD90" s="18" t="str">
        <f>IF($A90="","",ROUND(AY90+R90*CONFIGURACION!$B$8,4))</f>
        <v/>
      </c>
      <c r="BE90" s="18" t="str">
        <f>IF($A90="","",ROUND(AY90+R90*CONFIGURACION!$B$9,4))</f>
        <v/>
      </c>
      <c r="BF90" s="18" t="str">
        <f>IF($A90="","",ROUND(AY90+R90*CONFIGURACION!$B$13,4))</f>
        <v/>
      </c>
      <c r="BG90" s="18" t="str">
        <f>IF($A90="","",ROUND(AY90+R90*CONFIGURACION!$B$12,4))</f>
        <v/>
      </c>
      <c r="BH90" s="18" t="str">
        <f t="shared" si="24"/>
        <v/>
      </c>
      <c r="BI90" s="18" t="str">
        <f t="shared" si="25"/>
        <v/>
      </c>
      <c r="BJ90" s="18" t="str">
        <f t="shared" si="26"/>
        <v/>
      </c>
      <c r="BK90" s="18" t="str">
        <f t="shared" si="27"/>
        <v/>
      </c>
      <c r="BL90" s="18" t="str">
        <f t="shared" si="28"/>
        <v/>
      </c>
      <c r="BM90" s="18" t="str">
        <f t="shared" si="29"/>
        <v/>
      </c>
      <c r="BN90" s="18" t="str">
        <f t="shared" si="30"/>
        <v/>
      </c>
      <c r="BO90" s="18" t="str">
        <f t="shared" si="31"/>
        <v/>
      </c>
      <c r="BP90" s="18" t="str">
        <f t="shared" si="32"/>
        <v/>
      </c>
      <c r="BQ90" s="16"/>
      <c r="BR90" s="16"/>
      <c r="BS90" s="17"/>
    </row>
    <row r="91" spans="1:71" ht="16.05" customHeight="1" x14ac:dyDescent="0.3">
      <c r="A91" s="16"/>
      <c r="B91" s="16"/>
      <c r="C91" s="17"/>
      <c r="D91" s="17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7" t="str">
        <f t="shared" si="22"/>
        <v/>
      </c>
      <c r="V91" s="17" t="str">
        <f t="shared" si="23"/>
        <v/>
      </c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8" t="str">
        <f>IF($A91="","",ROUND(P91*CONFIGURACION!$B$2+IF(W91&lt;&gt;"",X91*IFERROR(VLOOKUP(W91,'DATOS COSTES POLIAMIDAS'!$A:$G,7,0),0),0)+IF(Y91&lt;&gt;"",Z91*IFERROR(VLOOKUP(Y91,'DATOS COSTES POLIAMIDAS'!$A:$G,7,0),0),0)+IF(AA91&lt;&gt;"",AB91*IFERROR(VLOOKUP(AA91,'DATOS COSTES POLIAMIDAS'!$A:$G,7,0),0),0)+IF(AC91&lt;&gt;"",AD91*IFERROR(VLOOKUP(AC91,'DATOS COSTES POLIAMIDAS'!$A:$G,7,0),0),0)+IF(AE91&lt;&gt;"",IFERROR(VLOOKUP(AE91,'DATOS COSTES MECANIZADOS'!$A:$F,6,0),0),0),4))</f>
        <v/>
      </c>
      <c r="AZ91" s="18" t="str">
        <f>IF($A91="","",ROUND(AY91+R91*CONFIGURACION!$B$6,4))</f>
        <v/>
      </c>
      <c r="BA91" s="18" t="str">
        <f>IF($A91="","",ROUND(AY91+R91*CONFIGURACION!$B$7,4))</f>
        <v/>
      </c>
      <c r="BB91" s="18" t="str">
        <f>IF($A91="","",ROUND(AY91+R91*CONFIGURACION!$B$5,4))</f>
        <v/>
      </c>
      <c r="BC91" s="18" t="str">
        <f>IF($A91="","",ROUND(AY91+R91*CONFIGURACION!$B$10+R91*T91*CONFIGURACION!$B$11,4))</f>
        <v/>
      </c>
      <c r="BD91" s="18" t="str">
        <f>IF($A91="","",ROUND(AY91+R91*CONFIGURACION!$B$8,4))</f>
        <v/>
      </c>
      <c r="BE91" s="18" t="str">
        <f>IF($A91="","",ROUND(AY91+R91*CONFIGURACION!$B$9,4))</f>
        <v/>
      </c>
      <c r="BF91" s="18" t="str">
        <f>IF($A91="","",ROUND(AY91+R91*CONFIGURACION!$B$13,4))</f>
        <v/>
      </c>
      <c r="BG91" s="18" t="str">
        <f>IF($A91="","",ROUND(AY91+R91*CONFIGURACION!$B$12,4))</f>
        <v/>
      </c>
      <c r="BH91" s="18" t="str">
        <f t="shared" si="24"/>
        <v/>
      </c>
      <c r="BI91" s="18" t="str">
        <f t="shared" si="25"/>
        <v/>
      </c>
      <c r="BJ91" s="18" t="str">
        <f t="shared" si="26"/>
        <v/>
      </c>
      <c r="BK91" s="18" t="str">
        <f t="shared" si="27"/>
        <v/>
      </c>
      <c r="BL91" s="18" t="str">
        <f t="shared" si="28"/>
        <v/>
      </c>
      <c r="BM91" s="18" t="str">
        <f t="shared" si="29"/>
        <v/>
      </c>
      <c r="BN91" s="18" t="str">
        <f t="shared" si="30"/>
        <v/>
      </c>
      <c r="BO91" s="18" t="str">
        <f t="shared" si="31"/>
        <v/>
      </c>
      <c r="BP91" s="18" t="str">
        <f t="shared" si="32"/>
        <v/>
      </c>
      <c r="BQ91" s="16"/>
      <c r="BR91" s="16"/>
      <c r="BS91" s="17"/>
    </row>
    <row r="92" spans="1:71" ht="16.05" customHeight="1" x14ac:dyDescent="0.3">
      <c r="A92" s="16"/>
      <c r="B92" s="16"/>
      <c r="C92" s="17"/>
      <c r="D92" s="17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7" t="str">
        <f t="shared" si="22"/>
        <v/>
      </c>
      <c r="V92" s="17" t="str">
        <f t="shared" si="23"/>
        <v/>
      </c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8" t="str">
        <f>IF($A92="","",ROUND(P92*CONFIGURACION!$B$2+IF(W92&lt;&gt;"",X92*IFERROR(VLOOKUP(W92,'DATOS COSTES POLIAMIDAS'!$A:$G,7,0),0),0)+IF(Y92&lt;&gt;"",Z92*IFERROR(VLOOKUP(Y92,'DATOS COSTES POLIAMIDAS'!$A:$G,7,0),0),0)+IF(AA92&lt;&gt;"",AB92*IFERROR(VLOOKUP(AA92,'DATOS COSTES POLIAMIDAS'!$A:$G,7,0),0),0)+IF(AC92&lt;&gt;"",AD92*IFERROR(VLOOKUP(AC92,'DATOS COSTES POLIAMIDAS'!$A:$G,7,0),0),0)+IF(AE92&lt;&gt;"",IFERROR(VLOOKUP(AE92,'DATOS COSTES MECANIZADOS'!$A:$F,6,0),0),0),4))</f>
        <v/>
      </c>
      <c r="AZ92" s="18" t="str">
        <f>IF($A92="","",ROUND(AY92+R92*CONFIGURACION!$B$6,4))</f>
        <v/>
      </c>
      <c r="BA92" s="18" t="str">
        <f>IF($A92="","",ROUND(AY92+R92*CONFIGURACION!$B$7,4))</f>
        <v/>
      </c>
      <c r="BB92" s="18" t="str">
        <f>IF($A92="","",ROUND(AY92+R92*CONFIGURACION!$B$5,4))</f>
        <v/>
      </c>
      <c r="BC92" s="18" t="str">
        <f>IF($A92="","",ROUND(AY92+R92*CONFIGURACION!$B$10+R92*T92*CONFIGURACION!$B$11,4))</f>
        <v/>
      </c>
      <c r="BD92" s="18" t="str">
        <f>IF($A92="","",ROUND(AY92+R92*CONFIGURACION!$B$8,4))</f>
        <v/>
      </c>
      <c r="BE92" s="18" t="str">
        <f>IF($A92="","",ROUND(AY92+R92*CONFIGURACION!$B$9,4))</f>
        <v/>
      </c>
      <c r="BF92" s="18" t="str">
        <f>IF($A92="","",ROUND(AY92+R92*CONFIGURACION!$B$13,4))</f>
        <v/>
      </c>
      <c r="BG92" s="18" t="str">
        <f>IF($A92="","",ROUND(AY92+R92*CONFIGURACION!$B$12,4))</f>
        <v/>
      </c>
      <c r="BH92" s="18" t="str">
        <f t="shared" si="24"/>
        <v/>
      </c>
      <c r="BI92" s="18" t="str">
        <f t="shared" si="25"/>
        <v/>
      </c>
      <c r="BJ92" s="18" t="str">
        <f t="shared" si="26"/>
        <v/>
      </c>
      <c r="BK92" s="18" t="str">
        <f t="shared" si="27"/>
        <v/>
      </c>
      <c r="BL92" s="18" t="str">
        <f t="shared" si="28"/>
        <v/>
      </c>
      <c r="BM92" s="18" t="str">
        <f t="shared" si="29"/>
        <v/>
      </c>
      <c r="BN92" s="18" t="str">
        <f t="shared" si="30"/>
        <v/>
      </c>
      <c r="BO92" s="18" t="str">
        <f t="shared" si="31"/>
        <v/>
      </c>
      <c r="BP92" s="18" t="str">
        <f t="shared" si="32"/>
        <v/>
      </c>
      <c r="BQ92" s="16"/>
      <c r="BR92" s="16"/>
      <c r="BS92" s="17"/>
    </row>
    <row r="93" spans="1:71" ht="16.05" customHeight="1" x14ac:dyDescent="0.3">
      <c r="A93" s="16"/>
      <c r="B93" s="16"/>
      <c r="C93" s="17"/>
      <c r="D93" s="17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7" t="str">
        <f t="shared" si="22"/>
        <v/>
      </c>
      <c r="V93" s="17" t="str">
        <f t="shared" si="23"/>
        <v/>
      </c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8" t="str">
        <f>IF($A93="","",ROUND(P93*CONFIGURACION!$B$2+IF(W93&lt;&gt;"",X93*IFERROR(VLOOKUP(W93,'DATOS COSTES POLIAMIDAS'!$A:$G,7,0),0),0)+IF(Y93&lt;&gt;"",Z93*IFERROR(VLOOKUP(Y93,'DATOS COSTES POLIAMIDAS'!$A:$G,7,0),0),0)+IF(AA93&lt;&gt;"",AB93*IFERROR(VLOOKUP(AA93,'DATOS COSTES POLIAMIDAS'!$A:$G,7,0),0),0)+IF(AC93&lt;&gt;"",AD93*IFERROR(VLOOKUP(AC93,'DATOS COSTES POLIAMIDAS'!$A:$G,7,0),0),0)+IF(AE93&lt;&gt;"",IFERROR(VLOOKUP(AE93,'DATOS COSTES MECANIZADOS'!$A:$F,6,0),0),0),4))</f>
        <v/>
      </c>
      <c r="AZ93" s="18" t="str">
        <f>IF($A93="","",ROUND(AY93+R93*CONFIGURACION!$B$6,4))</f>
        <v/>
      </c>
      <c r="BA93" s="18" t="str">
        <f>IF($A93="","",ROUND(AY93+R93*CONFIGURACION!$B$7,4))</f>
        <v/>
      </c>
      <c r="BB93" s="18" t="str">
        <f>IF($A93="","",ROUND(AY93+R93*CONFIGURACION!$B$5,4))</f>
        <v/>
      </c>
      <c r="BC93" s="18" t="str">
        <f>IF($A93="","",ROUND(AY93+R93*CONFIGURACION!$B$10+R93*T93*CONFIGURACION!$B$11,4))</f>
        <v/>
      </c>
      <c r="BD93" s="18" t="str">
        <f>IF($A93="","",ROUND(AY93+R93*CONFIGURACION!$B$8,4))</f>
        <v/>
      </c>
      <c r="BE93" s="18" t="str">
        <f>IF($A93="","",ROUND(AY93+R93*CONFIGURACION!$B$9,4))</f>
        <v/>
      </c>
      <c r="BF93" s="18" t="str">
        <f>IF($A93="","",ROUND(AY93+R93*CONFIGURACION!$B$13,4))</f>
        <v/>
      </c>
      <c r="BG93" s="18" t="str">
        <f>IF($A93="","",ROUND(AY93+R93*CONFIGURACION!$B$12,4))</f>
        <v/>
      </c>
      <c r="BH93" s="18" t="str">
        <f t="shared" si="24"/>
        <v/>
      </c>
      <c r="BI93" s="18" t="str">
        <f t="shared" si="25"/>
        <v/>
      </c>
      <c r="BJ93" s="18" t="str">
        <f t="shared" si="26"/>
        <v/>
      </c>
      <c r="BK93" s="18" t="str">
        <f t="shared" si="27"/>
        <v/>
      </c>
      <c r="BL93" s="18" t="str">
        <f t="shared" si="28"/>
        <v/>
      </c>
      <c r="BM93" s="18" t="str">
        <f t="shared" si="29"/>
        <v/>
      </c>
      <c r="BN93" s="18" t="str">
        <f t="shared" si="30"/>
        <v/>
      </c>
      <c r="BO93" s="18" t="str">
        <f t="shared" si="31"/>
        <v/>
      </c>
      <c r="BP93" s="18" t="str">
        <f t="shared" si="32"/>
        <v/>
      </c>
      <c r="BQ93" s="16"/>
      <c r="BR93" s="16"/>
      <c r="BS93" s="17"/>
    </row>
    <row r="94" spans="1:71" ht="16.05" customHeight="1" x14ac:dyDescent="0.3">
      <c r="A94" s="16"/>
      <c r="B94" s="16"/>
      <c r="C94" s="17"/>
      <c r="D94" s="17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7" t="str">
        <f t="shared" si="22"/>
        <v/>
      </c>
      <c r="V94" s="17" t="str">
        <f t="shared" si="23"/>
        <v/>
      </c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8" t="str">
        <f>IF($A94="","",ROUND(P94*CONFIGURACION!$B$2+IF(W94&lt;&gt;"",X94*IFERROR(VLOOKUP(W94,'DATOS COSTES POLIAMIDAS'!$A:$G,7,0),0),0)+IF(Y94&lt;&gt;"",Z94*IFERROR(VLOOKUP(Y94,'DATOS COSTES POLIAMIDAS'!$A:$G,7,0),0),0)+IF(AA94&lt;&gt;"",AB94*IFERROR(VLOOKUP(AA94,'DATOS COSTES POLIAMIDAS'!$A:$G,7,0),0),0)+IF(AC94&lt;&gt;"",AD94*IFERROR(VLOOKUP(AC94,'DATOS COSTES POLIAMIDAS'!$A:$G,7,0),0),0)+IF(AE94&lt;&gt;"",IFERROR(VLOOKUP(AE94,'DATOS COSTES MECANIZADOS'!$A:$F,6,0),0),0),4))</f>
        <v/>
      </c>
      <c r="AZ94" s="18" t="str">
        <f>IF($A94="","",ROUND(AY94+R94*CONFIGURACION!$B$6,4))</f>
        <v/>
      </c>
      <c r="BA94" s="18" t="str">
        <f>IF($A94="","",ROUND(AY94+R94*CONFIGURACION!$B$7,4))</f>
        <v/>
      </c>
      <c r="BB94" s="18" t="str">
        <f>IF($A94="","",ROUND(AY94+R94*CONFIGURACION!$B$5,4))</f>
        <v/>
      </c>
      <c r="BC94" s="18" t="str">
        <f>IF($A94="","",ROUND(AY94+R94*CONFIGURACION!$B$10+R94*T94*CONFIGURACION!$B$11,4))</f>
        <v/>
      </c>
      <c r="BD94" s="18" t="str">
        <f>IF($A94="","",ROUND(AY94+R94*CONFIGURACION!$B$8,4))</f>
        <v/>
      </c>
      <c r="BE94" s="18" t="str">
        <f>IF($A94="","",ROUND(AY94+R94*CONFIGURACION!$B$9,4))</f>
        <v/>
      </c>
      <c r="BF94" s="18" t="str">
        <f>IF($A94="","",ROUND(AY94+R94*CONFIGURACION!$B$13,4))</f>
        <v/>
      </c>
      <c r="BG94" s="18" t="str">
        <f>IF($A94="","",ROUND(AY94+R94*CONFIGURACION!$B$12,4))</f>
        <v/>
      </c>
      <c r="BH94" s="18" t="str">
        <f t="shared" si="24"/>
        <v/>
      </c>
      <c r="BI94" s="18" t="str">
        <f t="shared" si="25"/>
        <v/>
      </c>
      <c r="BJ94" s="18" t="str">
        <f t="shared" si="26"/>
        <v/>
      </c>
      <c r="BK94" s="18" t="str">
        <f t="shared" si="27"/>
        <v/>
      </c>
      <c r="BL94" s="18" t="str">
        <f t="shared" si="28"/>
        <v/>
      </c>
      <c r="BM94" s="18" t="str">
        <f t="shared" si="29"/>
        <v/>
      </c>
      <c r="BN94" s="18" t="str">
        <f t="shared" si="30"/>
        <v/>
      </c>
      <c r="BO94" s="18" t="str">
        <f t="shared" si="31"/>
        <v/>
      </c>
      <c r="BP94" s="18" t="str">
        <f t="shared" si="32"/>
        <v/>
      </c>
      <c r="BQ94" s="16"/>
      <c r="BR94" s="16"/>
      <c r="BS94" s="17"/>
    </row>
    <row r="95" spans="1:71" ht="16.05" customHeight="1" x14ac:dyDescent="0.3">
      <c r="A95" s="16"/>
      <c r="B95" s="16"/>
      <c r="C95" s="17"/>
      <c r="D95" s="17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7" t="str">
        <f t="shared" si="22"/>
        <v/>
      </c>
      <c r="V95" s="17" t="str">
        <f t="shared" si="23"/>
        <v/>
      </c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8" t="str">
        <f>IF($A95="","",ROUND(P95*CONFIGURACION!$B$2+IF(W95&lt;&gt;"",X95*IFERROR(VLOOKUP(W95,'DATOS COSTES POLIAMIDAS'!$A:$G,7,0),0),0)+IF(Y95&lt;&gt;"",Z95*IFERROR(VLOOKUP(Y95,'DATOS COSTES POLIAMIDAS'!$A:$G,7,0),0),0)+IF(AA95&lt;&gt;"",AB95*IFERROR(VLOOKUP(AA95,'DATOS COSTES POLIAMIDAS'!$A:$G,7,0),0),0)+IF(AC95&lt;&gt;"",AD95*IFERROR(VLOOKUP(AC95,'DATOS COSTES POLIAMIDAS'!$A:$G,7,0),0),0)+IF(AE95&lt;&gt;"",IFERROR(VLOOKUP(AE95,'DATOS COSTES MECANIZADOS'!$A:$F,6,0),0),0),4))</f>
        <v/>
      </c>
      <c r="AZ95" s="18" t="str">
        <f>IF($A95="","",ROUND(AY95+R95*CONFIGURACION!$B$6,4))</f>
        <v/>
      </c>
      <c r="BA95" s="18" t="str">
        <f>IF($A95="","",ROUND(AY95+R95*CONFIGURACION!$B$7,4))</f>
        <v/>
      </c>
      <c r="BB95" s="18" t="str">
        <f>IF($A95="","",ROUND(AY95+R95*CONFIGURACION!$B$5,4))</f>
        <v/>
      </c>
      <c r="BC95" s="18" t="str">
        <f>IF($A95="","",ROUND(AY95+R95*CONFIGURACION!$B$10+R95*T95*CONFIGURACION!$B$11,4))</f>
        <v/>
      </c>
      <c r="BD95" s="18" t="str">
        <f>IF($A95="","",ROUND(AY95+R95*CONFIGURACION!$B$8,4))</f>
        <v/>
      </c>
      <c r="BE95" s="18" t="str">
        <f>IF($A95="","",ROUND(AY95+R95*CONFIGURACION!$B$9,4))</f>
        <v/>
      </c>
      <c r="BF95" s="18" t="str">
        <f>IF($A95="","",ROUND(AY95+R95*CONFIGURACION!$B$13,4))</f>
        <v/>
      </c>
      <c r="BG95" s="18" t="str">
        <f>IF($A95="","",ROUND(AY95+R95*CONFIGURACION!$B$12,4))</f>
        <v/>
      </c>
      <c r="BH95" s="18" t="str">
        <f t="shared" si="24"/>
        <v/>
      </c>
      <c r="BI95" s="18" t="str">
        <f t="shared" si="25"/>
        <v/>
      </c>
      <c r="BJ95" s="18" t="str">
        <f t="shared" si="26"/>
        <v/>
      </c>
      <c r="BK95" s="18" t="str">
        <f t="shared" si="27"/>
        <v/>
      </c>
      <c r="BL95" s="18" t="str">
        <f t="shared" si="28"/>
        <v/>
      </c>
      <c r="BM95" s="18" t="str">
        <f t="shared" si="29"/>
        <v/>
      </c>
      <c r="BN95" s="18" t="str">
        <f t="shared" si="30"/>
        <v/>
      </c>
      <c r="BO95" s="18" t="str">
        <f t="shared" si="31"/>
        <v/>
      </c>
      <c r="BP95" s="18" t="str">
        <f t="shared" si="32"/>
        <v/>
      </c>
      <c r="BQ95" s="16"/>
      <c r="BR95" s="16"/>
      <c r="BS95" s="17"/>
    </row>
    <row r="96" spans="1:71" ht="16.05" customHeight="1" x14ac:dyDescent="0.3">
      <c r="A96" s="16"/>
      <c r="B96" s="16"/>
      <c r="C96" s="17"/>
      <c r="D96" s="17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7" t="str">
        <f t="shared" si="22"/>
        <v/>
      </c>
      <c r="V96" s="17" t="str">
        <f t="shared" si="23"/>
        <v/>
      </c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8" t="str">
        <f>IF($A96="","",ROUND(P96*CONFIGURACION!$B$2+IF(W96&lt;&gt;"",X96*IFERROR(VLOOKUP(W96,'DATOS COSTES POLIAMIDAS'!$A:$G,7,0),0),0)+IF(Y96&lt;&gt;"",Z96*IFERROR(VLOOKUP(Y96,'DATOS COSTES POLIAMIDAS'!$A:$G,7,0),0),0)+IF(AA96&lt;&gt;"",AB96*IFERROR(VLOOKUP(AA96,'DATOS COSTES POLIAMIDAS'!$A:$G,7,0),0),0)+IF(AC96&lt;&gt;"",AD96*IFERROR(VLOOKUP(AC96,'DATOS COSTES POLIAMIDAS'!$A:$G,7,0),0),0)+IF(AE96&lt;&gt;"",IFERROR(VLOOKUP(AE96,'DATOS COSTES MECANIZADOS'!$A:$F,6,0),0),0),4))</f>
        <v/>
      </c>
      <c r="AZ96" s="18" t="str">
        <f>IF($A96="","",ROUND(AY96+R96*CONFIGURACION!$B$6,4))</f>
        <v/>
      </c>
      <c r="BA96" s="18" t="str">
        <f>IF($A96="","",ROUND(AY96+R96*CONFIGURACION!$B$7,4))</f>
        <v/>
      </c>
      <c r="BB96" s="18" t="str">
        <f>IF($A96="","",ROUND(AY96+R96*CONFIGURACION!$B$5,4))</f>
        <v/>
      </c>
      <c r="BC96" s="18" t="str">
        <f>IF($A96="","",ROUND(AY96+R96*CONFIGURACION!$B$10+R96*T96*CONFIGURACION!$B$11,4))</f>
        <v/>
      </c>
      <c r="BD96" s="18" t="str">
        <f>IF($A96="","",ROUND(AY96+R96*CONFIGURACION!$B$8,4))</f>
        <v/>
      </c>
      <c r="BE96" s="18" t="str">
        <f>IF($A96="","",ROUND(AY96+R96*CONFIGURACION!$B$9,4))</f>
        <v/>
      </c>
      <c r="BF96" s="18" t="str">
        <f>IF($A96="","",ROUND(AY96+R96*CONFIGURACION!$B$13,4))</f>
        <v/>
      </c>
      <c r="BG96" s="18" t="str">
        <f>IF($A96="","",ROUND(AY96+R96*CONFIGURACION!$B$12,4))</f>
        <v/>
      </c>
      <c r="BH96" s="18" t="str">
        <f t="shared" si="24"/>
        <v/>
      </c>
      <c r="BI96" s="18" t="str">
        <f t="shared" si="25"/>
        <v/>
      </c>
      <c r="BJ96" s="18" t="str">
        <f t="shared" si="26"/>
        <v/>
      </c>
      <c r="BK96" s="18" t="str">
        <f t="shared" si="27"/>
        <v/>
      </c>
      <c r="BL96" s="18" t="str">
        <f t="shared" si="28"/>
        <v/>
      </c>
      <c r="BM96" s="18" t="str">
        <f t="shared" si="29"/>
        <v/>
      </c>
      <c r="BN96" s="18" t="str">
        <f t="shared" si="30"/>
        <v/>
      </c>
      <c r="BO96" s="18" t="str">
        <f t="shared" si="31"/>
        <v/>
      </c>
      <c r="BP96" s="18" t="str">
        <f t="shared" si="32"/>
        <v/>
      </c>
      <c r="BQ96" s="16"/>
      <c r="BR96" s="16"/>
      <c r="BS96" s="17"/>
    </row>
    <row r="97" spans="1:71" ht="16.05" customHeight="1" x14ac:dyDescent="0.3">
      <c r="A97" s="16"/>
      <c r="B97" s="16"/>
      <c r="C97" s="17"/>
      <c r="D97" s="17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7" t="str">
        <f t="shared" si="22"/>
        <v/>
      </c>
      <c r="V97" s="17" t="str">
        <f t="shared" si="23"/>
        <v/>
      </c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8" t="str">
        <f>IF($A97="","",ROUND(P97*CONFIGURACION!$B$2+IF(W97&lt;&gt;"",X97*IFERROR(VLOOKUP(W97,'DATOS COSTES POLIAMIDAS'!$A:$G,7,0),0),0)+IF(Y97&lt;&gt;"",Z97*IFERROR(VLOOKUP(Y97,'DATOS COSTES POLIAMIDAS'!$A:$G,7,0),0),0)+IF(AA97&lt;&gt;"",AB97*IFERROR(VLOOKUP(AA97,'DATOS COSTES POLIAMIDAS'!$A:$G,7,0),0),0)+IF(AC97&lt;&gt;"",AD97*IFERROR(VLOOKUP(AC97,'DATOS COSTES POLIAMIDAS'!$A:$G,7,0),0),0)+IF(AE97&lt;&gt;"",IFERROR(VLOOKUP(AE97,'DATOS COSTES MECANIZADOS'!$A:$F,6,0),0),0),4))</f>
        <v/>
      </c>
      <c r="AZ97" s="18" t="str">
        <f>IF($A97="","",ROUND(AY97+R97*CONFIGURACION!$B$6,4))</f>
        <v/>
      </c>
      <c r="BA97" s="18" t="str">
        <f>IF($A97="","",ROUND(AY97+R97*CONFIGURACION!$B$7,4))</f>
        <v/>
      </c>
      <c r="BB97" s="18" t="str">
        <f>IF($A97="","",ROUND(AY97+R97*CONFIGURACION!$B$5,4))</f>
        <v/>
      </c>
      <c r="BC97" s="18" t="str">
        <f>IF($A97="","",ROUND(AY97+R97*CONFIGURACION!$B$10+R97*T97*CONFIGURACION!$B$11,4))</f>
        <v/>
      </c>
      <c r="BD97" s="18" t="str">
        <f>IF($A97="","",ROUND(AY97+R97*CONFIGURACION!$B$8,4))</f>
        <v/>
      </c>
      <c r="BE97" s="18" t="str">
        <f>IF($A97="","",ROUND(AY97+R97*CONFIGURACION!$B$9,4))</f>
        <v/>
      </c>
      <c r="BF97" s="18" t="str">
        <f>IF($A97="","",ROUND(AY97+R97*CONFIGURACION!$B$13,4))</f>
        <v/>
      </c>
      <c r="BG97" s="18" t="str">
        <f>IF($A97="","",ROUND(AY97+R97*CONFIGURACION!$B$12,4))</f>
        <v/>
      </c>
      <c r="BH97" s="18" t="str">
        <f t="shared" si="24"/>
        <v/>
      </c>
      <c r="BI97" s="18" t="str">
        <f t="shared" si="25"/>
        <v/>
      </c>
      <c r="BJ97" s="18" t="str">
        <f t="shared" si="26"/>
        <v/>
      </c>
      <c r="BK97" s="18" t="str">
        <f t="shared" si="27"/>
        <v/>
      </c>
      <c r="BL97" s="18" t="str">
        <f t="shared" si="28"/>
        <v/>
      </c>
      <c r="BM97" s="18" t="str">
        <f t="shared" si="29"/>
        <v/>
      </c>
      <c r="BN97" s="18" t="str">
        <f t="shared" si="30"/>
        <v/>
      </c>
      <c r="BO97" s="18" t="str">
        <f t="shared" si="31"/>
        <v/>
      </c>
      <c r="BP97" s="18" t="str">
        <f t="shared" si="32"/>
        <v/>
      </c>
      <c r="BQ97" s="16"/>
      <c r="BR97" s="16"/>
      <c r="BS97" s="17"/>
    </row>
    <row r="98" spans="1:71" ht="16.05" customHeight="1" x14ac:dyDescent="0.3">
      <c r="A98" s="16"/>
      <c r="B98" s="16"/>
      <c r="C98" s="17"/>
      <c r="D98" s="17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7" t="str">
        <f t="shared" si="22"/>
        <v/>
      </c>
      <c r="V98" s="17" t="str">
        <f t="shared" si="23"/>
        <v/>
      </c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8" t="str">
        <f>IF($A98="","",ROUND(P98*CONFIGURACION!$B$2+IF(W98&lt;&gt;"",X98*IFERROR(VLOOKUP(W98,'DATOS COSTES POLIAMIDAS'!$A:$G,7,0),0),0)+IF(Y98&lt;&gt;"",Z98*IFERROR(VLOOKUP(Y98,'DATOS COSTES POLIAMIDAS'!$A:$G,7,0),0),0)+IF(AA98&lt;&gt;"",AB98*IFERROR(VLOOKUP(AA98,'DATOS COSTES POLIAMIDAS'!$A:$G,7,0),0),0)+IF(AC98&lt;&gt;"",AD98*IFERROR(VLOOKUP(AC98,'DATOS COSTES POLIAMIDAS'!$A:$G,7,0),0),0)+IF(AE98&lt;&gt;"",IFERROR(VLOOKUP(AE98,'DATOS COSTES MECANIZADOS'!$A:$F,6,0),0),0),4))</f>
        <v/>
      </c>
      <c r="AZ98" s="18" t="str">
        <f>IF($A98="","",ROUND(AY98+R98*CONFIGURACION!$B$6,4))</f>
        <v/>
      </c>
      <c r="BA98" s="18" t="str">
        <f>IF($A98="","",ROUND(AY98+R98*CONFIGURACION!$B$7,4))</f>
        <v/>
      </c>
      <c r="BB98" s="18" t="str">
        <f>IF($A98="","",ROUND(AY98+R98*CONFIGURACION!$B$5,4))</f>
        <v/>
      </c>
      <c r="BC98" s="18" t="str">
        <f>IF($A98="","",ROUND(AY98+R98*CONFIGURACION!$B$10+R98*T98*CONFIGURACION!$B$11,4))</f>
        <v/>
      </c>
      <c r="BD98" s="18" t="str">
        <f>IF($A98="","",ROUND(AY98+R98*CONFIGURACION!$B$8,4))</f>
        <v/>
      </c>
      <c r="BE98" s="18" t="str">
        <f>IF($A98="","",ROUND(AY98+R98*CONFIGURACION!$B$9,4))</f>
        <v/>
      </c>
      <c r="BF98" s="18" t="str">
        <f>IF($A98="","",ROUND(AY98+R98*CONFIGURACION!$B$13,4))</f>
        <v/>
      </c>
      <c r="BG98" s="18" t="str">
        <f>IF($A98="","",ROUND(AY98+R98*CONFIGURACION!$B$12,4))</f>
        <v/>
      </c>
      <c r="BH98" s="18" t="str">
        <f t="shared" si="24"/>
        <v/>
      </c>
      <c r="BI98" s="18" t="str">
        <f t="shared" si="25"/>
        <v/>
      </c>
      <c r="BJ98" s="18" t="str">
        <f t="shared" si="26"/>
        <v/>
      </c>
      <c r="BK98" s="18" t="str">
        <f t="shared" si="27"/>
        <v/>
      </c>
      <c r="BL98" s="18" t="str">
        <f t="shared" si="28"/>
        <v/>
      </c>
      <c r="BM98" s="18" t="str">
        <f t="shared" si="29"/>
        <v/>
      </c>
      <c r="BN98" s="18" t="str">
        <f t="shared" si="30"/>
        <v/>
      </c>
      <c r="BO98" s="18" t="str">
        <f t="shared" si="31"/>
        <v/>
      </c>
      <c r="BP98" s="18" t="str">
        <f t="shared" si="32"/>
        <v/>
      </c>
      <c r="BQ98" s="16"/>
      <c r="BR98" s="16"/>
      <c r="BS98" s="17"/>
    </row>
    <row r="99" spans="1:71" ht="16.05" customHeight="1" x14ac:dyDescent="0.3">
      <c r="A99" s="16"/>
      <c r="B99" s="16"/>
      <c r="C99" s="17"/>
      <c r="D99" s="17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7" t="str">
        <f t="shared" ref="U99:U130" si="33">IF($A99="","","X:\IMAGENES GEINPROD\"&amp;$A99&amp;".JPG")</f>
        <v/>
      </c>
      <c r="V99" s="17" t="str">
        <f t="shared" ref="V99:V130" si="34">IF($A99="","","X:\IMAGENES GEINPROD\PLANO ORIGINAL THERMIA\"&amp;$A99&amp;".pdf")</f>
        <v/>
      </c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8" t="str">
        <f>IF($A99="","",ROUND(P99*CONFIGURACION!$B$2+IF(W99&lt;&gt;"",X99*IFERROR(VLOOKUP(W99,'DATOS COSTES POLIAMIDAS'!$A:$G,7,0),0),0)+IF(Y99&lt;&gt;"",Z99*IFERROR(VLOOKUP(Y99,'DATOS COSTES POLIAMIDAS'!$A:$G,7,0),0),0)+IF(AA99&lt;&gt;"",AB99*IFERROR(VLOOKUP(AA99,'DATOS COSTES POLIAMIDAS'!$A:$G,7,0),0),0)+IF(AC99&lt;&gt;"",AD99*IFERROR(VLOOKUP(AC99,'DATOS COSTES POLIAMIDAS'!$A:$G,7,0),0),0)+IF(AE99&lt;&gt;"",IFERROR(VLOOKUP(AE99,'DATOS COSTES MECANIZADOS'!$A:$F,6,0),0),0),4))</f>
        <v/>
      </c>
      <c r="AZ99" s="18" t="str">
        <f>IF($A99="","",ROUND(AY99+R99*CONFIGURACION!$B$6,4))</f>
        <v/>
      </c>
      <c r="BA99" s="18" t="str">
        <f>IF($A99="","",ROUND(AY99+R99*CONFIGURACION!$B$7,4))</f>
        <v/>
      </c>
      <c r="BB99" s="18" t="str">
        <f>IF($A99="","",ROUND(AY99+R99*CONFIGURACION!$B$5,4))</f>
        <v/>
      </c>
      <c r="BC99" s="18" t="str">
        <f>IF($A99="","",ROUND(AY99+R99*CONFIGURACION!$B$10+R99*T99*CONFIGURACION!$B$11,4))</f>
        <v/>
      </c>
      <c r="BD99" s="18" t="str">
        <f>IF($A99="","",ROUND(AY99+R99*CONFIGURACION!$B$8,4))</f>
        <v/>
      </c>
      <c r="BE99" s="18" t="str">
        <f>IF($A99="","",ROUND(AY99+R99*CONFIGURACION!$B$9,4))</f>
        <v/>
      </c>
      <c r="BF99" s="18" t="str">
        <f>IF($A99="","",ROUND(AY99+R99*CONFIGURACION!$B$13,4))</f>
        <v/>
      </c>
      <c r="BG99" s="18" t="str">
        <f>IF($A99="","",ROUND(AY99+R99*CONFIGURACION!$B$12,4))</f>
        <v/>
      </c>
      <c r="BH99" s="18" t="str">
        <f t="shared" ref="BH99:BH130" si="35">IF($A99="","",IF(AP99="","",ROUND(AY99/AP99,4)))</f>
        <v/>
      </c>
      <c r="BI99" s="18" t="str">
        <f t="shared" ref="BI99:BI130" si="36">IF($A99="","",IF(AQ99="","",ROUND(AZ99/AQ99,4)))</f>
        <v/>
      </c>
      <c r="BJ99" s="18" t="str">
        <f t="shared" ref="BJ99:BJ130" si="37">IF($A99="","",IF(AR99="","",ROUND(BA99/AR99,4)))</f>
        <v/>
      </c>
      <c r="BK99" s="18" t="str">
        <f t="shared" ref="BK99:BK130" si="38">IF($A99="","",IF(AS99="","",ROUND(BB99/AS99,4)))</f>
        <v/>
      </c>
      <c r="BL99" s="18" t="str">
        <f t="shared" ref="BL99:BL130" si="39">IF($A99="","",IF(AT99="","",ROUND(BC99/AT99,4)))</f>
        <v/>
      </c>
      <c r="BM99" s="18" t="str">
        <f t="shared" ref="BM99:BM130" si="40">IF($A99="","",IF(AU99="","",ROUND(BD99/AU99,4)))</f>
        <v/>
      </c>
      <c r="BN99" s="18" t="str">
        <f t="shared" ref="BN99:BN130" si="41">IF($A99="","",IF(AV99="","",ROUND(BE99/AV99,4)))</f>
        <v/>
      </c>
      <c r="BO99" s="18" t="str">
        <f t="shared" ref="BO99:BO130" si="42">IF($A99="","",IF(AW99="","",ROUND(BF99/AW99,4)))</f>
        <v/>
      </c>
      <c r="BP99" s="18" t="str">
        <f t="shared" ref="BP99:BP130" si="43">IF($A99="","",IF(AX99="","",ROUND(BG99/AX99,4)))</f>
        <v/>
      </c>
      <c r="BQ99" s="16"/>
      <c r="BR99" s="16"/>
      <c r="BS99" s="17"/>
    </row>
    <row r="100" spans="1:71" ht="16.05" customHeight="1" x14ac:dyDescent="0.3">
      <c r="A100" s="16"/>
      <c r="B100" s="16"/>
      <c r="C100" s="17"/>
      <c r="D100" s="17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7" t="str">
        <f t="shared" si="33"/>
        <v/>
      </c>
      <c r="V100" s="17" t="str">
        <f t="shared" si="34"/>
        <v/>
      </c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8" t="str">
        <f>IF($A100="","",ROUND(P100*CONFIGURACION!$B$2+IF(W100&lt;&gt;"",X100*IFERROR(VLOOKUP(W100,'DATOS COSTES POLIAMIDAS'!$A:$G,7,0),0),0)+IF(Y100&lt;&gt;"",Z100*IFERROR(VLOOKUP(Y100,'DATOS COSTES POLIAMIDAS'!$A:$G,7,0),0),0)+IF(AA100&lt;&gt;"",AB100*IFERROR(VLOOKUP(AA100,'DATOS COSTES POLIAMIDAS'!$A:$G,7,0),0),0)+IF(AC100&lt;&gt;"",AD100*IFERROR(VLOOKUP(AC100,'DATOS COSTES POLIAMIDAS'!$A:$G,7,0),0),0)+IF(AE100&lt;&gt;"",IFERROR(VLOOKUP(AE100,'DATOS COSTES MECANIZADOS'!$A:$F,6,0),0),0),4))</f>
        <v/>
      </c>
      <c r="AZ100" s="18" t="str">
        <f>IF($A100="","",ROUND(AY100+R100*CONFIGURACION!$B$6,4))</f>
        <v/>
      </c>
      <c r="BA100" s="18" t="str">
        <f>IF($A100="","",ROUND(AY100+R100*CONFIGURACION!$B$7,4))</f>
        <v/>
      </c>
      <c r="BB100" s="18" t="str">
        <f>IF($A100="","",ROUND(AY100+R100*CONFIGURACION!$B$5,4))</f>
        <v/>
      </c>
      <c r="BC100" s="18" t="str">
        <f>IF($A100="","",ROUND(AY100+R100*CONFIGURACION!$B$10+R100*T100*CONFIGURACION!$B$11,4))</f>
        <v/>
      </c>
      <c r="BD100" s="18" t="str">
        <f>IF($A100="","",ROUND(AY100+R100*CONFIGURACION!$B$8,4))</f>
        <v/>
      </c>
      <c r="BE100" s="18" t="str">
        <f>IF($A100="","",ROUND(AY100+R100*CONFIGURACION!$B$9,4))</f>
        <v/>
      </c>
      <c r="BF100" s="18" t="str">
        <f>IF($A100="","",ROUND(AY100+R100*CONFIGURACION!$B$13,4))</f>
        <v/>
      </c>
      <c r="BG100" s="18" t="str">
        <f>IF($A100="","",ROUND(AY100+R100*CONFIGURACION!$B$12,4))</f>
        <v/>
      </c>
      <c r="BH100" s="18" t="str">
        <f t="shared" si="35"/>
        <v/>
      </c>
      <c r="BI100" s="18" t="str">
        <f t="shared" si="36"/>
        <v/>
      </c>
      <c r="BJ100" s="18" t="str">
        <f t="shared" si="37"/>
        <v/>
      </c>
      <c r="BK100" s="18" t="str">
        <f t="shared" si="38"/>
        <v/>
      </c>
      <c r="BL100" s="18" t="str">
        <f t="shared" si="39"/>
        <v/>
      </c>
      <c r="BM100" s="18" t="str">
        <f t="shared" si="40"/>
        <v/>
      </c>
      <c r="BN100" s="18" t="str">
        <f t="shared" si="41"/>
        <v/>
      </c>
      <c r="BO100" s="18" t="str">
        <f t="shared" si="42"/>
        <v/>
      </c>
      <c r="BP100" s="18" t="str">
        <f t="shared" si="43"/>
        <v/>
      </c>
      <c r="BQ100" s="16"/>
      <c r="BR100" s="16"/>
      <c r="BS100" s="17"/>
    </row>
    <row r="101" spans="1:71" ht="16.05" customHeight="1" x14ac:dyDescent="0.3">
      <c r="A101" s="16"/>
      <c r="B101" s="16"/>
      <c r="C101" s="17"/>
      <c r="D101" s="17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7" t="str">
        <f t="shared" si="33"/>
        <v/>
      </c>
      <c r="V101" s="17" t="str">
        <f t="shared" si="34"/>
        <v/>
      </c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8" t="str">
        <f>IF($A101="","",ROUND(P101*CONFIGURACION!$B$2+IF(W101&lt;&gt;"",X101*IFERROR(VLOOKUP(W101,'DATOS COSTES POLIAMIDAS'!$A:$G,7,0),0),0)+IF(Y101&lt;&gt;"",Z101*IFERROR(VLOOKUP(Y101,'DATOS COSTES POLIAMIDAS'!$A:$G,7,0),0),0)+IF(AA101&lt;&gt;"",AB101*IFERROR(VLOOKUP(AA101,'DATOS COSTES POLIAMIDAS'!$A:$G,7,0),0),0)+IF(AC101&lt;&gt;"",AD101*IFERROR(VLOOKUP(AC101,'DATOS COSTES POLIAMIDAS'!$A:$G,7,0),0),0)+IF(AE101&lt;&gt;"",IFERROR(VLOOKUP(AE101,'DATOS COSTES MECANIZADOS'!$A:$F,6,0),0),0),4))</f>
        <v/>
      </c>
      <c r="AZ101" s="18" t="str">
        <f>IF($A101="","",ROUND(AY101+R101*CONFIGURACION!$B$6,4))</f>
        <v/>
      </c>
      <c r="BA101" s="18" t="str">
        <f>IF($A101="","",ROUND(AY101+R101*CONFIGURACION!$B$7,4))</f>
        <v/>
      </c>
      <c r="BB101" s="18" t="str">
        <f>IF($A101="","",ROUND(AY101+R101*CONFIGURACION!$B$5,4))</f>
        <v/>
      </c>
      <c r="BC101" s="18" t="str">
        <f>IF($A101="","",ROUND(AY101+R101*CONFIGURACION!$B$10+R101*T101*CONFIGURACION!$B$11,4))</f>
        <v/>
      </c>
      <c r="BD101" s="18" t="str">
        <f>IF($A101="","",ROUND(AY101+R101*CONFIGURACION!$B$8,4))</f>
        <v/>
      </c>
      <c r="BE101" s="18" t="str">
        <f>IF($A101="","",ROUND(AY101+R101*CONFIGURACION!$B$9,4))</f>
        <v/>
      </c>
      <c r="BF101" s="18" t="str">
        <f>IF($A101="","",ROUND(AY101+R101*CONFIGURACION!$B$13,4))</f>
        <v/>
      </c>
      <c r="BG101" s="18" t="str">
        <f>IF($A101="","",ROUND(AY101+R101*CONFIGURACION!$B$12,4))</f>
        <v/>
      </c>
      <c r="BH101" s="18" t="str">
        <f t="shared" si="35"/>
        <v/>
      </c>
      <c r="BI101" s="18" t="str">
        <f t="shared" si="36"/>
        <v/>
      </c>
      <c r="BJ101" s="18" t="str">
        <f t="shared" si="37"/>
        <v/>
      </c>
      <c r="BK101" s="18" t="str">
        <f t="shared" si="38"/>
        <v/>
      </c>
      <c r="BL101" s="18" t="str">
        <f t="shared" si="39"/>
        <v/>
      </c>
      <c r="BM101" s="18" t="str">
        <f t="shared" si="40"/>
        <v/>
      </c>
      <c r="BN101" s="18" t="str">
        <f t="shared" si="41"/>
        <v/>
      </c>
      <c r="BO101" s="18" t="str">
        <f t="shared" si="42"/>
        <v/>
      </c>
      <c r="BP101" s="18" t="str">
        <f t="shared" si="43"/>
        <v/>
      </c>
      <c r="BQ101" s="16"/>
      <c r="BR101" s="16"/>
      <c r="BS101" s="17"/>
    </row>
    <row r="102" spans="1:71" ht="16.05" customHeight="1" x14ac:dyDescent="0.3">
      <c r="A102" s="16"/>
      <c r="B102" s="16"/>
      <c r="C102" s="17"/>
      <c r="D102" s="17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7" t="str">
        <f t="shared" si="33"/>
        <v/>
      </c>
      <c r="V102" s="17" t="str">
        <f t="shared" si="34"/>
        <v/>
      </c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8" t="str">
        <f>IF($A102="","",ROUND(P102*CONFIGURACION!$B$2+IF(W102&lt;&gt;"",X102*IFERROR(VLOOKUP(W102,'DATOS COSTES POLIAMIDAS'!$A:$G,7,0),0),0)+IF(Y102&lt;&gt;"",Z102*IFERROR(VLOOKUP(Y102,'DATOS COSTES POLIAMIDAS'!$A:$G,7,0),0),0)+IF(AA102&lt;&gt;"",AB102*IFERROR(VLOOKUP(AA102,'DATOS COSTES POLIAMIDAS'!$A:$G,7,0),0),0)+IF(AC102&lt;&gt;"",AD102*IFERROR(VLOOKUP(AC102,'DATOS COSTES POLIAMIDAS'!$A:$G,7,0),0),0)+IF(AE102&lt;&gt;"",IFERROR(VLOOKUP(AE102,'DATOS COSTES MECANIZADOS'!$A:$F,6,0),0),0),4))</f>
        <v/>
      </c>
      <c r="AZ102" s="18" t="str">
        <f>IF($A102="","",ROUND(AY102+R102*CONFIGURACION!$B$6,4))</f>
        <v/>
      </c>
      <c r="BA102" s="18" t="str">
        <f>IF($A102="","",ROUND(AY102+R102*CONFIGURACION!$B$7,4))</f>
        <v/>
      </c>
      <c r="BB102" s="18" t="str">
        <f>IF($A102="","",ROUND(AY102+R102*CONFIGURACION!$B$5,4))</f>
        <v/>
      </c>
      <c r="BC102" s="18" t="str">
        <f>IF($A102="","",ROUND(AY102+R102*CONFIGURACION!$B$10+R102*T102*CONFIGURACION!$B$11,4))</f>
        <v/>
      </c>
      <c r="BD102" s="18" t="str">
        <f>IF($A102="","",ROUND(AY102+R102*CONFIGURACION!$B$8,4))</f>
        <v/>
      </c>
      <c r="BE102" s="18" t="str">
        <f>IF($A102="","",ROUND(AY102+R102*CONFIGURACION!$B$9,4))</f>
        <v/>
      </c>
      <c r="BF102" s="18" t="str">
        <f>IF($A102="","",ROUND(AY102+R102*CONFIGURACION!$B$13,4))</f>
        <v/>
      </c>
      <c r="BG102" s="18" t="str">
        <f>IF($A102="","",ROUND(AY102+R102*CONFIGURACION!$B$12,4))</f>
        <v/>
      </c>
      <c r="BH102" s="18" t="str">
        <f t="shared" si="35"/>
        <v/>
      </c>
      <c r="BI102" s="18" t="str">
        <f t="shared" si="36"/>
        <v/>
      </c>
      <c r="BJ102" s="18" t="str">
        <f t="shared" si="37"/>
        <v/>
      </c>
      <c r="BK102" s="18" t="str">
        <f t="shared" si="38"/>
        <v/>
      </c>
      <c r="BL102" s="18" t="str">
        <f t="shared" si="39"/>
        <v/>
      </c>
      <c r="BM102" s="18" t="str">
        <f t="shared" si="40"/>
        <v/>
      </c>
      <c r="BN102" s="18" t="str">
        <f t="shared" si="41"/>
        <v/>
      </c>
      <c r="BO102" s="18" t="str">
        <f t="shared" si="42"/>
        <v/>
      </c>
      <c r="BP102" s="18" t="str">
        <f t="shared" si="43"/>
        <v/>
      </c>
      <c r="BQ102" s="16"/>
      <c r="BR102" s="16"/>
      <c r="BS102" s="17"/>
    </row>
    <row r="103" spans="1:71" ht="16.05" customHeight="1" x14ac:dyDescent="0.3">
      <c r="A103" s="16"/>
      <c r="B103" s="16"/>
      <c r="C103" s="17"/>
      <c r="D103" s="17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7" t="str">
        <f t="shared" si="33"/>
        <v/>
      </c>
      <c r="V103" s="17" t="str">
        <f t="shared" si="34"/>
        <v/>
      </c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8" t="str">
        <f>IF($A103="","",ROUND(P103*CONFIGURACION!$B$2+IF(W103&lt;&gt;"",X103*IFERROR(VLOOKUP(W103,'DATOS COSTES POLIAMIDAS'!$A:$G,7,0),0),0)+IF(Y103&lt;&gt;"",Z103*IFERROR(VLOOKUP(Y103,'DATOS COSTES POLIAMIDAS'!$A:$G,7,0),0),0)+IF(AA103&lt;&gt;"",AB103*IFERROR(VLOOKUP(AA103,'DATOS COSTES POLIAMIDAS'!$A:$G,7,0),0),0)+IF(AC103&lt;&gt;"",AD103*IFERROR(VLOOKUP(AC103,'DATOS COSTES POLIAMIDAS'!$A:$G,7,0),0),0)+IF(AE103&lt;&gt;"",IFERROR(VLOOKUP(AE103,'DATOS COSTES MECANIZADOS'!$A:$F,6,0),0),0),4))</f>
        <v/>
      </c>
      <c r="AZ103" s="18" t="str">
        <f>IF($A103="","",ROUND(AY103+R103*CONFIGURACION!$B$6,4))</f>
        <v/>
      </c>
      <c r="BA103" s="18" t="str">
        <f>IF($A103="","",ROUND(AY103+R103*CONFIGURACION!$B$7,4))</f>
        <v/>
      </c>
      <c r="BB103" s="18" t="str">
        <f>IF($A103="","",ROUND(AY103+R103*CONFIGURACION!$B$5,4))</f>
        <v/>
      </c>
      <c r="BC103" s="18" t="str">
        <f>IF($A103="","",ROUND(AY103+R103*CONFIGURACION!$B$10+R103*T103*CONFIGURACION!$B$11,4))</f>
        <v/>
      </c>
      <c r="BD103" s="18" t="str">
        <f>IF($A103="","",ROUND(AY103+R103*CONFIGURACION!$B$8,4))</f>
        <v/>
      </c>
      <c r="BE103" s="18" t="str">
        <f>IF($A103="","",ROUND(AY103+R103*CONFIGURACION!$B$9,4))</f>
        <v/>
      </c>
      <c r="BF103" s="18" t="str">
        <f>IF($A103="","",ROUND(AY103+R103*CONFIGURACION!$B$13,4))</f>
        <v/>
      </c>
      <c r="BG103" s="18" t="str">
        <f>IF($A103="","",ROUND(AY103+R103*CONFIGURACION!$B$12,4))</f>
        <v/>
      </c>
      <c r="BH103" s="18" t="str">
        <f t="shared" si="35"/>
        <v/>
      </c>
      <c r="BI103" s="18" t="str">
        <f t="shared" si="36"/>
        <v/>
      </c>
      <c r="BJ103" s="18" t="str">
        <f t="shared" si="37"/>
        <v/>
      </c>
      <c r="BK103" s="18" t="str">
        <f t="shared" si="38"/>
        <v/>
      </c>
      <c r="BL103" s="18" t="str">
        <f t="shared" si="39"/>
        <v/>
      </c>
      <c r="BM103" s="18" t="str">
        <f t="shared" si="40"/>
        <v/>
      </c>
      <c r="BN103" s="18" t="str">
        <f t="shared" si="41"/>
        <v/>
      </c>
      <c r="BO103" s="18" t="str">
        <f t="shared" si="42"/>
        <v/>
      </c>
      <c r="BP103" s="18" t="str">
        <f t="shared" si="43"/>
        <v/>
      </c>
      <c r="BQ103" s="16"/>
      <c r="BR103" s="16"/>
      <c r="BS103" s="17"/>
    </row>
    <row r="104" spans="1:71" ht="16.05" customHeight="1" x14ac:dyDescent="0.3">
      <c r="A104" s="16"/>
      <c r="B104" s="16"/>
      <c r="C104" s="17"/>
      <c r="D104" s="17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7" t="str">
        <f t="shared" si="33"/>
        <v/>
      </c>
      <c r="V104" s="17" t="str">
        <f t="shared" si="34"/>
        <v/>
      </c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8" t="str">
        <f>IF($A104="","",ROUND(P104*CONFIGURACION!$B$2+IF(W104&lt;&gt;"",X104*IFERROR(VLOOKUP(W104,'DATOS COSTES POLIAMIDAS'!$A:$G,7,0),0),0)+IF(Y104&lt;&gt;"",Z104*IFERROR(VLOOKUP(Y104,'DATOS COSTES POLIAMIDAS'!$A:$G,7,0),0),0)+IF(AA104&lt;&gt;"",AB104*IFERROR(VLOOKUP(AA104,'DATOS COSTES POLIAMIDAS'!$A:$G,7,0),0),0)+IF(AC104&lt;&gt;"",AD104*IFERROR(VLOOKUP(AC104,'DATOS COSTES POLIAMIDAS'!$A:$G,7,0),0),0)+IF(AE104&lt;&gt;"",IFERROR(VLOOKUP(AE104,'DATOS COSTES MECANIZADOS'!$A:$F,6,0),0),0),4))</f>
        <v/>
      </c>
      <c r="AZ104" s="18" t="str">
        <f>IF($A104="","",ROUND(AY104+R104*CONFIGURACION!$B$6,4))</f>
        <v/>
      </c>
      <c r="BA104" s="18" t="str">
        <f>IF($A104="","",ROUND(AY104+R104*CONFIGURACION!$B$7,4))</f>
        <v/>
      </c>
      <c r="BB104" s="18" t="str">
        <f>IF($A104="","",ROUND(AY104+R104*CONFIGURACION!$B$5,4))</f>
        <v/>
      </c>
      <c r="BC104" s="18" t="str">
        <f>IF($A104="","",ROUND(AY104+R104*CONFIGURACION!$B$10+R104*T104*CONFIGURACION!$B$11,4))</f>
        <v/>
      </c>
      <c r="BD104" s="18" t="str">
        <f>IF($A104="","",ROUND(AY104+R104*CONFIGURACION!$B$8,4))</f>
        <v/>
      </c>
      <c r="BE104" s="18" t="str">
        <f>IF($A104="","",ROUND(AY104+R104*CONFIGURACION!$B$9,4))</f>
        <v/>
      </c>
      <c r="BF104" s="18" t="str">
        <f>IF($A104="","",ROUND(AY104+R104*CONFIGURACION!$B$13,4))</f>
        <v/>
      </c>
      <c r="BG104" s="18" t="str">
        <f>IF($A104="","",ROUND(AY104+R104*CONFIGURACION!$B$12,4))</f>
        <v/>
      </c>
      <c r="BH104" s="18" t="str">
        <f t="shared" si="35"/>
        <v/>
      </c>
      <c r="BI104" s="18" t="str">
        <f t="shared" si="36"/>
        <v/>
      </c>
      <c r="BJ104" s="18" t="str">
        <f t="shared" si="37"/>
        <v/>
      </c>
      <c r="BK104" s="18" t="str">
        <f t="shared" si="38"/>
        <v/>
      </c>
      <c r="BL104" s="18" t="str">
        <f t="shared" si="39"/>
        <v/>
      </c>
      <c r="BM104" s="18" t="str">
        <f t="shared" si="40"/>
        <v/>
      </c>
      <c r="BN104" s="18" t="str">
        <f t="shared" si="41"/>
        <v/>
      </c>
      <c r="BO104" s="18" t="str">
        <f t="shared" si="42"/>
        <v/>
      </c>
      <c r="BP104" s="18" t="str">
        <f t="shared" si="43"/>
        <v/>
      </c>
      <c r="BQ104" s="16"/>
      <c r="BR104" s="16"/>
      <c r="BS104" s="17"/>
    </row>
    <row r="105" spans="1:71" ht="16.05" customHeight="1" x14ac:dyDescent="0.3">
      <c r="A105" s="16"/>
      <c r="B105" s="16"/>
      <c r="C105" s="17"/>
      <c r="D105" s="17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7" t="str">
        <f t="shared" si="33"/>
        <v/>
      </c>
      <c r="V105" s="17" t="str">
        <f t="shared" si="34"/>
        <v/>
      </c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8" t="str">
        <f>IF($A105="","",ROUND(P105*CONFIGURACION!$B$2+IF(W105&lt;&gt;"",X105*IFERROR(VLOOKUP(W105,'DATOS COSTES POLIAMIDAS'!$A:$G,7,0),0),0)+IF(Y105&lt;&gt;"",Z105*IFERROR(VLOOKUP(Y105,'DATOS COSTES POLIAMIDAS'!$A:$G,7,0),0),0)+IF(AA105&lt;&gt;"",AB105*IFERROR(VLOOKUP(AA105,'DATOS COSTES POLIAMIDAS'!$A:$G,7,0),0),0)+IF(AC105&lt;&gt;"",AD105*IFERROR(VLOOKUP(AC105,'DATOS COSTES POLIAMIDAS'!$A:$G,7,0),0),0)+IF(AE105&lt;&gt;"",IFERROR(VLOOKUP(AE105,'DATOS COSTES MECANIZADOS'!$A:$F,6,0),0),0),4))</f>
        <v/>
      </c>
      <c r="AZ105" s="18" t="str">
        <f>IF($A105="","",ROUND(AY105+R105*CONFIGURACION!$B$6,4))</f>
        <v/>
      </c>
      <c r="BA105" s="18" t="str">
        <f>IF($A105="","",ROUND(AY105+R105*CONFIGURACION!$B$7,4))</f>
        <v/>
      </c>
      <c r="BB105" s="18" t="str">
        <f>IF($A105="","",ROUND(AY105+R105*CONFIGURACION!$B$5,4))</f>
        <v/>
      </c>
      <c r="BC105" s="18" t="str">
        <f>IF($A105="","",ROUND(AY105+R105*CONFIGURACION!$B$10+R105*T105*CONFIGURACION!$B$11,4))</f>
        <v/>
      </c>
      <c r="BD105" s="18" t="str">
        <f>IF($A105="","",ROUND(AY105+R105*CONFIGURACION!$B$8,4))</f>
        <v/>
      </c>
      <c r="BE105" s="18" t="str">
        <f>IF($A105="","",ROUND(AY105+R105*CONFIGURACION!$B$9,4))</f>
        <v/>
      </c>
      <c r="BF105" s="18" t="str">
        <f>IF($A105="","",ROUND(AY105+R105*CONFIGURACION!$B$13,4))</f>
        <v/>
      </c>
      <c r="BG105" s="18" t="str">
        <f>IF($A105="","",ROUND(AY105+R105*CONFIGURACION!$B$12,4))</f>
        <v/>
      </c>
      <c r="BH105" s="18" t="str">
        <f t="shared" si="35"/>
        <v/>
      </c>
      <c r="BI105" s="18" t="str">
        <f t="shared" si="36"/>
        <v/>
      </c>
      <c r="BJ105" s="18" t="str">
        <f t="shared" si="37"/>
        <v/>
      </c>
      <c r="BK105" s="18" t="str">
        <f t="shared" si="38"/>
        <v/>
      </c>
      <c r="BL105" s="18" t="str">
        <f t="shared" si="39"/>
        <v/>
      </c>
      <c r="BM105" s="18" t="str">
        <f t="shared" si="40"/>
        <v/>
      </c>
      <c r="BN105" s="18" t="str">
        <f t="shared" si="41"/>
        <v/>
      </c>
      <c r="BO105" s="18" t="str">
        <f t="shared" si="42"/>
        <v/>
      </c>
      <c r="BP105" s="18" t="str">
        <f t="shared" si="43"/>
        <v/>
      </c>
      <c r="BQ105" s="16"/>
      <c r="BR105" s="16"/>
      <c r="BS105" s="17"/>
    </row>
    <row r="106" spans="1:71" ht="16.05" customHeight="1" x14ac:dyDescent="0.3">
      <c r="A106" s="16"/>
      <c r="B106" s="16"/>
      <c r="C106" s="17"/>
      <c r="D106" s="17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7" t="str">
        <f t="shared" si="33"/>
        <v/>
      </c>
      <c r="V106" s="17" t="str">
        <f t="shared" si="34"/>
        <v/>
      </c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8" t="str">
        <f>IF($A106="","",ROUND(P106*CONFIGURACION!$B$2+IF(W106&lt;&gt;"",X106*IFERROR(VLOOKUP(W106,'DATOS COSTES POLIAMIDAS'!$A:$G,7,0),0),0)+IF(Y106&lt;&gt;"",Z106*IFERROR(VLOOKUP(Y106,'DATOS COSTES POLIAMIDAS'!$A:$G,7,0),0),0)+IF(AA106&lt;&gt;"",AB106*IFERROR(VLOOKUP(AA106,'DATOS COSTES POLIAMIDAS'!$A:$G,7,0),0),0)+IF(AC106&lt;&gt;"",AD106*IFERROR(VLOOKUP(AC106,'DATOS COSTES POLIAMIDAS'!$A:$G,7,0),0),0)+IF(AE106&lt;&gt;"",IFERROR(VLOOKUP(AE106,'DATOS COSTES MECANIZADOS'!$A:$F,6,0),0),0),4))</f>
        <v/>
      </c>
      <c r="AZ106" s="18" t="str">
        <f>IF($A106="","",ROUND(AY106+R106*CONFIGURACION!$B$6,4))</f>
        <v/>
      </c>
      <c r="BA106" s="18" t="str">
        <f>IF($A106="","",ROUND(AY106+R106*CONFIGURACION!$B$7,4))</f>
        <v/>
      </c>
      <c r="BB106" s="18" t="str">
        <f>IF($A106="","",ROUND(AY106+R106*CONFIGURACION!$B$5,4))</f>
        <v/>
      </c>
      <c r="BC106" s="18" t="str">
        <f>IF($A106="","",ROUND(AY106+R106*CONFIGURACION!$B$10+R106*T106*CONFIGURACION!$B$11,4))</f>
        <v/>
      </c>
      <c r="BD106" s="18" t="str">
        <f>IF($A106="","",ROUND(AY106+R106*CONFIGURACION!$B$8,4))</f>
        <v/>
      </c>
      <c r="BE106" s="18" t="str">
        <f>IF($A106="","",ROUND(AY106+R106*CONFIGURACION!$B$9,4))</f>
        <v/>
      </c>
      <c r="BF106" s="18" t="str">
        <f>IF($A106="","",ROUND(AY106+R106*CONFIGURACION!$B$13,4))</f>
        <v/>
      </c>
      <c r="BG106" s="18" t="str">
        <f>IF($A106="","",ROUND(AY106+R106*CONFIGURACION!$B$12,4))</f>
        <v/>
      </c>
      <c r="BH106" s="18" t="str">
        <f t="shared" si="35"/>
        <v/>
      </c>
      <c r="BI106" s="18" t="str">
        <f t="shared" si="36"/>
        <v/>
      </c>
      <c r="BJ106" s="18" t="str">
        <f t="shared" si="37"/>
        <v/>
      </c>
      <c r="BK106" s="18" t="str">
        <f t="shared" si="38"/>
        <v/>
      </c>
      <c r="BL106" s="18" t="str">
        <f t="shared" si="39"/>
        <v/>
      </c>
      <c r="BM106" s="18" t="str">
        <f t="shared" si="40"/>
        <v/>
      </c>
      <c r="BN106" s="18" t="str">
        <f t="shared" si="41"/>
        <v/>
      </c>
      <c r="BO106" s="18" t="str">
        <f t="shared" si="42"/>
        <v/>
      </c>
      <c r="BP106" s="18" t="str">
        <f t="shared" si="43"/>
        <v/>
      </c>
      <c r="BQ106" s="16"/>
      <c r="BR106" s="16"/>
      <c r="BS106" s="17"/>
    </row>
    <row r="107" spans="1:71" ht="16.05" customHeight="1" x14ac:dyDescent="0.3">
      <c r="A107" s="16"/>
      <c r="B107" s="16"/>
      <c r="C107" s="17"/>
      <c r="D107" s="17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7" t="str">
        <f t="shared" si="33"/>
        <v/>
      </c>
      <c r="V107" s="17" t="str">
        <f t="shared" si="34"/>
        <v/>
      </c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8" t="str">
        <f>IF($A107="","",ROUND(P107*CONFIGURACION!$B$2+IF(W107&lt;&gt;"",X107*IFERROR(VLOOKUP(W107,'DATOS COSTES POLIAMIDAS'!$A:$G,7,0),0),0)+IF(Y107&lt;&gt;"",Z107*IFERROR(VLOOKUP(Y107,'DATOS COSTES POLIAMIDAS'!$A:$G,7,0),0),0)+IF(AA107&lt;&gt;"",AB107*IFERROR(VLOOKUP(AA107,'DATOS COSTES POLIAMIDAS'!$A:$G,7,0),0),0)+IF(AC107&lt;&gt;"",AD107*IFERROR(VLOOKUP(AC107,'DATOS COSTES POLIAMIDAS'!$A:$G,7,0),0),0)+IF(AE107&lt;&gt;"",IFERROR(VLOOKUP(AE107,'DATOS COSTES MECANIZADOS'!$A:$F,6,0),0),0),4))</f>
        <v/>
      </c>
      <c r="AZ107" s="18" t="str">
        <f>IF($A107="","",ROUND(AY107+R107*CONFIGURACION!$B$6,4))</f>
        <v/>
      </c>
      <c r="BA107" s="18" t="str">
        <f>IF($A107="","",ROUND(AY107+R107*CONFIGURACION!$B$7,4))</f>
        <v/>
      </c>
      <c r="BB107" s="18" t="str">
        <f>IF($A107="","",ROUND(AY107+R107*CONFIGURACION!$B$5,4))</f>
        <v/>
      </c>
      <c r="BC107" s="18" t="str">
        <f>IF($A107="","",ROUND(AY107+R107*CONFIGURACION!$B$10+R107*T107*CONFIGURACION!$B$11,4))</f>
        <v/>
      </c>
      <c r="BD107" s="18" t="str">
        <f>IF($A107="","",ROUND(AY107+R107*CONFIGURACION!$B$8,4))</f>
        <v/>
      </c>
      <c r="BE107" s="18" t="str">
        <f>IF($A107="","",ROUND(AY107+R107*CONFIGURACION!$B$9,4))</f>
        <v/>
      </c>
      <c r="BF107" s="18" t="str">
        <f>IF($A107="","",ROUND(AY107+R107*CONFIGURACION!$B$13,4))</f>
        <v/>
      </c>
      <c r="BG107" s="18" t="str">
        <f>IF($A107="","",ROUND(AY107+R107*CONFIGURACION!$B$12,4))</f>
        <v/>
      </c>
      <c r="BH107" s="18" t="str">
        <f t="shared" si="35"/>
        <v/>
      </c>
      <c r="BI107" s="18" t="str">
        <f t="shared" si="36"/>
        <v/>
      </c>
      <c r="BJ107" s="18" t="str">
        <f t="shared" si="37"/>
        <v/>
      </c>
      <c r="BK107" s="18" t="str">
        <f t="shared" si="38"/>
        <v/>
      </c>
      <c r="BL107" s="18" t="str">
        <f t="shared" si="39"/>
        <v/>
      </c>
      <c r="BM107" s="18" t="str">
        <f t="shared" si="40"/>
        <v/>
      </c>
      <c r="BN107" s="18" t="str">
        <f t="shared" si="41"/>
        <v/>
      </c>
      <c r="BO107" s="18" t="str">
        <f t="shared" si="42"/>
        <v/>
      </c>
      <c r="BP107" s="18" t="str">
        <f t="shared" si="43"/>
        <v/>
      </c>
      <c r="BQ107" s="16"/>
      <c r="BR107" s="16"/>
      <c r="BS107" s="17"/>
    </row>
    <row r="108" spans="1:71" ht="16.05" customHeight="1" x14ac:dyDescent="0.3">
      <c r="A108" s="16"/>
      <c r="B108" s="16"/>
      <c r="C108" s="17"/>
      <c r="D108" s="17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7" t="str">
        <f t="shared" si="33"/>
        <v/>
      </c>
      <c r="V108" s="17" t="str">
        <f t="shared" si="34"/>
        <v/>
      </c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8" t="str">
        <f>IF($A108="","",ROUND(P108*CONFIGURACION!$B$2+IF(W108&lt;&gt;"",X108*IFERROR(VLOOKUP(W108,'DATOS COSTES POLIAMIDAS'!$A:$G,7,0),0),0)+IF(Y108&lt;&gt;"",Z108*IFERROR(VLOOKUP(Y108,'DATOS COSTES POLIAMIDAS'!$A:$G,7,0),0),0)+IF(AA108&lt;&gt;"",AB108*IFERROR(VLOOKUP(AA108,'DATOS COSTES POLIAMIDAS'!$A:$G,7,0),0),0)+IF(AC108&lt;&gt;"",AD108*IFERROR(VLOOKUP(AC108,'DATOS COSTES POLIAMIDAS'!$A:$G,7,0),0),0)+IF(AE108&lt;&gt;"",IFERROR(VLOOKUP(AE108,'DATOS COSTES MECANIZADOS'!$A:$F,6,0),0),0),4))</f>
        <v/>
      </c>
      <c r="AZ108" s="18" t="str">
        <f>IF($A108="","",ROUND(AY108+R108*CONFIGURACION!$B$6,4))</f>
        <v/>
      </c>
      <c r="BA108" s="18" t="str">
        <f>IF($A108="","",ROUND(AY108+R108*CONFIGURACION!$B$7,4))</f>
        <v/>
      </c>
      <c r="BB108" s="18" t="str">
        <f>IF($A108="","",ROUND(AY108+R108*CONFIGURACION!$B$5,4))</f>
        <v/>
      </c>
      <c r="BC108" s="18" t="str">
        <f>IF($A108="","",ROUND(AY108+R108*CONFIGURACION!$B$10+R108*T108*CONFIGURACION!$B$11,4))</f>
        <v/>
      </c>
      <c r="BD108" s="18" t="str">
        <f>IF($A108="","",ROUND(AY108+R108*CONFIGURACION!$B$8,4))</f>
        <v/>
      </c>
      <c r="BE108" s="18" t="str">
        <f>IF($A108="","",ROUND(AY108+R108*CONFIGURACION!$B$9,4))</f>
        <v/>
      </c>
      <c r="BF108" s="18" t="str">
        <f>IF($A108="","",ROUND(AY108+R108*CONFIGURACION!$B$13,4))</f>
        <v/>
      </c>
      <c r="BG108" s="18" t="str">
        <f>IF($A108="","",ROUND(AY108+R108*CONFIGURACION!$B$12,4))</f>
        <v/>
      </c>
      <c r="BH108" s="18" t="str">
        <f t="shared" si="35"/>
        <v/>
      </c>
      <c r="BI108" s="18" t="str">
        <f t="shared" si="36"/>
        <v/>
      </c>
      <c r="BJ108" s="18" t="str">
        <f t="shared" si="37"/>
        <v/>
      </c>
      <c r="BK108" s="18" t="str">
        <f t="shared" si="38"/>
        <v/>
      </c>
      <c r="BL108" s="18" t="str">
        <f t="shared" si="39"/>
        <v/>
      </c>
      <c r="BM108" s="18" t="str">
        <f t="shared" si="40"/>
        <v/>
      </c>
      <c r="BN108" s="18" t="str">
        <f t="shared" si="41"/>
        <v/>
      </c>
      <c r="BO108" s="18" t="str">
        <f t="shared" si="42"/>
        <v/>
      </c>
      <c r="BP108" s="18" t="str">
        <f t="shared" si="43"/>
        <v/>
      </c>
      <c r="BQ108" s="16"/>
      <c r="BR108" s="16"/>
      <c r="BS108" s="17"/>
    </row>
    <row r="109" spans="1:71" ht="16.05" customHeight="1" x14ac:dyDescent="0.3">
      <c r="A109" s="16"/>
      <c r="B109" s="16"/>
      <c r="C109" s="17"/>
      <c r="D109" s="17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7" t="str">
        <f t="shared" si="33"/>
        <v/>
      </c>
      <c r="V109" s="17" t="str">
        <f t="shared" si="34"/>
        <v/>
      </c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8" t="str">
        <f>IF($A109="","",ROUND(P109*CONFIGURACION!$B$2+IF(W109&lt;&gt;"",X109*IFERROR(VLOOKUP(W109,'DATOS COSTES POLIAMIDAS'!$A:$G,7,0),0),0)+IF(Y109&lt;&gt;"",Z109*IFERROR(VLOOKUP(Y109,'DATOS COSTES POLIAMIDAS'!$A:$G,7,0),0),0)+IF(AA109&lt;&gt;"",AB109*IFERROR(VLOOKUP(AA109,'DATOS COSTES POLIAMIDAS'!$A:$G,7,0),0),0)+IF(AC109&lt;&gt;"",AD109*IFERROR(VLOOKUP(AC109,'DATOS COSTES POLIAMIDAS'!$A:$G,7,0),0),0)+IF(AE109&lt;&gt;"",IFERROR(VLOOKUP(AE109,'DATOS COSTES MECANIZADOS'!$A:$F,6,0),0),0),4))</f>
        <v/>
      </c>
      <c r="AZ109" s="18" t="str">
        <f>IF($A109="","",ROUND(AY109+R109*CONFIGURACION!$B$6,4))</f>
        <v/>
      </c>
      <c r="BA109" s="18" t="str">
        <f>IF($A109="","",ROUND(AY109+R109*CONFIGURACION!$B$7,4))</f>
        <v/>
      </c>
      <c r="BB109" s="18" t="str">
        <f>IF($A109="","",ROUND(AY109+R109*CONFIGURACION!$B$5,4))</f>
        <v/>
      </c>
      <c r="BC109" s="18" t="str">
        <f>IF($A109="","",ROUND(AY109+R109*CONFIGURACION!$B$10+R109*T109*CONFIGURACION!$B$11,4))</f>
        <v/>
      </c>
      <c r="BD109" s="18" t="str">
        <f>IF($A109="","",ROUND(AY109+R109*CONFIGURACION!$B$8,4))</f>
        <v/>
      </c>
      <c r="BE109" s="18" t="str">
        <f>IF($A109="","",ROUND(AY109+R109*CONFIGURACION!$B$9,4))</f>
        <v/>
      </c>
      <c r="BF109" s="18" t="str">
        <f>IF($A109="","",ROUND(AY109+R109*CONFIGURACION!$B$13,4))</f>
        <v/>
      </c>
      <c r="BG109" s="18" t="str">
        <f>IF($A109="","",ROUND(AY109+R109*CONFIGURACION!$B$12,4))</f>
        <v/>
      </c>
      <c r="BH109" s="18" t="str">
        <f t="shared" si="35"/>
        <v/>
      </c>
      <c r="BI109" s="18" t="str">
        <f t="shared" si="36"/>
        <v/>
      </c>
      <c r="BJ109" s="18" t="str">
        <f t="shared" si="37"/>
        <v/>
      </c>
      <c r="BK109" s="18" t="str">
        <f t="shared" si="38"/>
        <v/>
      </c>
      <c r="BL109" s="18" t="str">
        <f t="shared" si="39"/>
        <v/>
      </c>
      <c r="BM109" s="18" t="str">
        <f t="shared" si="40"/>
        <v/>
      </c>
      <c r="BN109" s="18" t="str">
        <f t="shared" si="41"/>
        <v/>
      </c>
      <c r="BO109" s="18" t="str">
        <f t="shared" si="42"/>
        <v/>
      </c>
      <c r="BP109" s="18" t="str">
        <f t="shared" si="43"/>
        <v/>
      </c>
      <c r="BQ109" s="16"/>
      <c r="BR109" s="16"/>
      <c r="BS109" s="17"/>
    </row>
    <row r="110" spans="1:71" ht="16.05" customHeight="1" x14ac:dyDescent="0.3">
      <c r="A110" s="16"/>
      <c r="B110" s="16"/>
      <c r="C110" s="17"/>
      <c r="D110" s="17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7" t="str">
        <f t="shared" si="33"/>
        <v/>
      </c>
      <c r="V110" s="17" t="str">
        <f t="shared" si="34"/>
        <v/>
      </c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8" t="str">
        <f>IF($A110="","",ROUND(P110*CONFIGURACION!$B$2+IF(W110&lt;&gt;"",X110*IFERROR(VLOOKUP(W110,'DATOS COSTES POLIAMIDAS'!$A:$G,7,0),0),0)+IF(Y110&lt;&gt;"",Z110*IFERROR(VLOOKUP(Y110,'DATOS COSTES POLIAMIDAS'!$A:$G,7,0),0),0)+IF(AA110&lt;&gt;"",AB110*IFERROR(VLOOKUP(AA110,'DATOS COSTES POLIAMIDAS'!$A:$G,7,0),0),0)+IF(AC110&lt;&gt;"",AD110*IFERROR(VLOOKUP(AC110,'DATOS COSTES POLIAMIDAS'!$A:$G,7,0),0),0)+IF(AE110&lt;&gt;"",IFERROR(VLOOKUP(AE110,'DATOS COSTES MECANIZADOS'!$A:$F,6,0),0),0),4))</f>
        <v/>
      </c>
      <c r="AZ110" s="18" t="str">
        <f>IF($A110="","",ROUND(AY110+R110*CONFIGURACION!$B$6,4))</f>
        <v/>
      </c>
      <c r="BA110" s="18" t="str">
        <f>IF($A110="","",ROUND(AY110+R110*CONFIGURACION!$B$7,4))</f>
        <v/>
      </c>
      <c r="BB110" s="18" t="str">
        <f>IF($A110="","",ROUND(AY110+R110*CONFIGURACION!$B$5,4))</f>
        <v/>
      </c>
      <c r="BC110" s="18" t="str">
        <f>IF($A110="","",ROUND(AY110+R110*CONFIGURACION!$B$10+R110*T110*CONFIGURACION!$B$11,4))</f>
        <v/>
      </c>
      <c r="BD110" s="18" t="str">
        <f>IF($A110="","",ROUND(AY110+R110*CONFIGURACION!$B$8,4))</f>
        <v/>
      </c>
      <c r="BE110" s="18" t="str">
        <f>IF($A110="","",ROUND(AY110+R110*CONFIGURACION!$B$9,4))</f>
        <v/>
      </c>
      <c r="BF110" s="18" t="str">
        <f>IF($A110="","",ROUND(AY110+R110*CONFIGURACION!$B$13,4))</f>
        <v/>
      </c>
      <c r="BG110" s="18" t="str">
        <f>IF($A110="","",ROUND(AY110+R110*CONFIGURACION!$B$12,4))</f>
        <v/>
      </c>
      <c r="BH110" s="18" t="str">
        <f t="shared" si="35"/>
        <v/>
      </c>
      <c r="BI110" s="18" t="str">
        <f t="shared" si="36"/>
        <v/>
      </c>
      <c r="BJ110" s="18" t="str">
        <f t="shared" si="37"/>
        <v/>
      </c>
      <c r="BK110" s="18" t="str">
        <f t="shared" si="38"/>
        <v/>
      </c>
      <c r="BL110" s="18" t="str">
        <f t="shared" si="39"/>
        <v/>
      </c>
      <c r="BM110" s="18" t="str">
        <f t="shared" si="40"/>
        <v/>
      </c>
      <c r="BN110" s="18" t="str">
        <f t="shared" si="41"/>
        <v/>
      </c>
      <c r="BO110" s="18" t="str">
        <f t="shared" si="42"/>
        <v/>
      </c>
      <c r="BP110" s="18" t="str">
        <f t="shared" si="43"/>
        <v/>
      </c>
      <c r="BQ110" s="16"/>
      <c r="BR110" s="16"/>
      <c r="BS110" s="17"/>
    </row>
    <row r="111" spans="1:71" ht="16.05" customHeight="1" x14ac:dyDescent="0.3">
      <c r="A111" s="16"/>
      <c r="B111" s="16"/>
      <c r="C111" s="17"/>
      <c r="D111" s="17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7" t="str">
        <f t="shared" si="33"/>
        <v/>
      </c>
      <c r="V111" s="17" t="str">
        <f t="shared" si="34"/>
        <v/>
      </c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8" t="str">
        <f>IF($A111="","",ROUND(P111*CONFIGURACION!$B$2+IF(W111&lt;&gt;"",X111*IFERROR(VLOOKUP(W111,'DATOS COSTES POLIAMIDAS'!$A:$G,7,0),0),0)+IF(Y111&lt;&gt;"",Z111*IFERROR(VLOOKUP(Y111,'DATOS COSTES POLIAMIDAS'!$A:$G,7,0),0),0)+IF(AA111&lt;&gt;"",AB111*IFERROR(VLOOKUP(AA111,'DATOS COSTES POLIAMIDAS'!$A:$G,7,0),0),0)+IF(AC111&lt;&gt;"",AD111*IFERROR(VLOOKUP(AC111,'DATOS COSTES POLIAMIDAS'!$A:$G,7,0),0),0)+IF(AE111&lt;&gt;"",IFERROR(VLOOKUP(AE111,'DATOS COSTES MECANIZADOS'!$A:$F,6,0),0),0),4))</f>
        <v/>
      </c>
      <c r="AZ111" s="18" t="str">
        <f>IF($A111="","",ROUND(AY111+R111*CONFIGURACION!$B$6,4))</f>
        <v/>
      </c>
      <c r="BA111" s="18" t="str">
        <f>IF($A111="","",ROUND(AY111+R111*CONFIGURACION!$B$7,4))</f>
        <v/>
      </c>
      <c r="BB111" s="18" t="str">
        <f>IF($A111="","",ROUND(AY111+R111*CONFIGURACION!$B$5,4))</f>
        <v/>
      </c>
      <c r="BC111" s="18" t="str">
        <f>IF($A111="","",ROUND(AY111+R111*CONFIGURACION!$B$10+R111*T111*CONFIGURACION!$B$11,4))</f>
        <v/>
      </c>
      <c r="BD111" s="18" t="str">
        <f>IF($A111="","",ROUND(AY111+R111*CONFIGURACION!$B$8,4))</f>
        <v/>
      </c>
      <c r="BE111" s="18" t="str">
        <f>IF($A111="","",ROUND(AY111+R111*CONFIGURACION!$B$9,4))</f>
        <v/>
      </c>
      <c r="BF111" s="18" t="str">
        <f>IF($A111="","",ROUND(AY111+R111*CONFIGURACION!$B$13,4))</f>
        <v/>
      </c>
      <c r="BG111" s="18" t="str">
        <f>IF($A111="","",ROUND(AY111+R111*CONFIGURACION!$B$12,4))</f>
        <v/>
      </c>
      <c r="BH111" s="18" t="str">
        <f t="shared" si="35"/>
        <v/>
      </c>
      <c r="BI111" s="18" t="str">
        <f t="shared" si="36"/>
        <v/>
      </c>
      <c r="BJ111" s="18" t="str">
        <f t="shared" si="37"/>
        <v/>
      </c>
      <c r="BK111" s="18" t="str">
        <f t="shared" si="38"/>
        <v/>
      </c>
      <c r="BL111" s="18" t="str">
        <f t="shared" si="39"/>
        <v/>
      </c>
      <c r="BM111" s="18" t="str">
        <f t="shared" si="40"/>
        <v/>
      </c>
      <c r="BN111" s="18" t="str">
        <f t="shared" si="41"/>
        <v/>
      </c>
      <c r="BO111" s="18" t="str">
        <f t="shared" si="42"/>
        <v/>
      </c>
      <c r="BP111" s="18" t="str">
        <f t="shared" si="43"/>
        <v/>
      </c>
      <c r="BQ111" s="16"/>
      <c r="BR111" s="16"/>
      <c r="BS111" s="17"/>
    </row>
    <row r="112" spans="1:71" ht="16.05" customHeight="1" x14ac:dyDescent="0.3">
      <c r="A112" s="16"/>
      <c r="B112" s="16"/>
      <c r="C112" s="17"/>
      <c r="D112" s="17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7" t="str">
        <f t="shared" si="33"/>
        <v/>
      </c>
      <c r="V112" s="17" t="str">
        <f t="shared" si="34"/>
        <v/>
      </c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8" t="str">
        <f>IF($A112="","",ROUND(P112*CONFIGURACION!$B$2+IF(W112&lt;&gt;"",X112*IFERROR(VLOOKUP(W112,'DATOS COSTES POLIAMIDAS'!$A:$G,7,0),0),0)+IF(Y112&lt;&gt;"",Z112*IFERROR(VLOOKUP(Y112,'DATOS COSTES POLIAMIDAS'!$A:$G,7,0),0),0)+IF(AA112&lt;&gt;"",AB112*IFERROR(VLOOKUP(AA112,'DATOS COSTES POLIAMIDAS'!$A:$G,7,0),0),0)+IF(AC112&lt;&gt;"",AD112*IFERROR(VLOOKUP(AC112,'DATOS COSTES POLIAMIDAS'!$A:$G,7,0),0),0)+IF(AE112&lt;&gt;"",IFERROR(VLOOKUP(AE112,'DATOS COSTES MECANIZADOS'!$A:$F,6,0),0),0),4))</f>
        <v/>
      </c>
      <c r="AZ112" s="18" t="str">
        <f>IF($A112="","",ROUND(AY112+R112*CONFIGURACION!$B$6,4))</f>
        <v/>
      </c>
      <c r="BA112" s="18" t="str">
        <f>IF($A112="","",ROUND(AY112+R112*CONFIGURACION!$B$7,4))</f>
        <v/>
      </c>
      <c r="BB112" s="18" t="str">
        <f>IF($A112="","",ROUND(AY112+R112*CONFIGURACION!$B$5,4))</f>
        <v/>
      </c>
      <c r="BC112" s="18" t="str">
        <f>IF($A112="","",ROUND(AY112+R112*CONFIGURACION!$B$10+R112*T112*CONFIGURACION!$B$11,4))</f>
        <v/>
      </c>
      <c r="BD112" s="18" t="str">
        <f>IF($A112="","",ROUND(AY112+R112*CONFIGURACION!$B$8,4))</f>
        <v/>
      </c>
      <c r="BE112" s="18" t="str">
        <f>IF($A112="","",ROUND(AY112+R112*CONFIGURACION!$B$9,4))</f>
        <v/>
      </c>
      <c r="BF112" s="18" t="str">
        <f>IF($A112="","",ROUND(AY112+R112*CONFIGURACION!$B$13,4))</f>
        <v/>
      </c>
      <c r="BG112" s="18" t="str">
        <f>IF($A112="","",ROUND(AY112+R112*CONFIGURACION!$B$12,4))</f>
        <v/>
      </c>
      <c r="BH112" s="18" t="str">
        <f t="shared" si="35"/>
        <v/>
      </c>
      <c r="BI112" s="18" t="str">
        <f t="shared" si="36"/>
        <v/>
      </c>
      <c r="BJ112" s="18" t="str">
        <f t="shared" si="37"/>
        <v/>
      </c>
      <c r="BK112" s="18" t="str">
        <f t="shared" si="38"/>
        <v/>
      </c>
      <c r="BL112" s="18" t="str">
        <f t="shared" si="39"/>
        <v/>
      </c>
      <c r="BM112" s="18" t="str">
        <f t="shared" si="40"/>
        <v/>
      </c>
      <c r="BN112" s="18" t="str">
        <f t="shared" si="41"/>
        <v/>
      </c>
      <c r="BO112" s="18" t="str">
        <f t="shared" si="42"/>
        <v/>
      </c>
      <c r="BP112" s="18" t="str">
        <f t="shared" si="43"/>
        <v/>
      </c>
      <c r="BQ112" s="16"/>
      <c r="BR112" s="16"/>
      <c r="BS112" s="17"/>
    </row>
    <row r="113" spans="1:71" ht="16.05" customHeight="1" x14ac:dyDescent="0.3">
      <c r="A113" s="16"/>
      <c r="B113" s="16"/>
      <c r="C113" s="17"/>
      <c r="D113" s="17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7" t="str">
        <f t="shared" si="33"/>
        <v/>
      </c>
      <c r="V113" s="17" t="str">
        <f t="shared" si="34"/>
        <v/>
      </c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8" t="str">
        <f>IF($A113="","",ROUND(P113*CONFIGURACION!$B$2+IF(W113&lt;&gt;"",X113*IFERROR(VLOOKUP(W113,'DATOS COSTES POLIAMIDAS'!$A:$G,7,0),0),0)+IF(Y113&lt;&gt;"",Z113*IFERROR(VLOOKUP(Y113,'DATOS COSTES POLIAMIDAS'!$A:$G,7,0),0),0)+IF(AA113&lt;&gt;"",AB113*IFERROR(VLOOKUP(AA113,'DATOS COSTES POLIAMIDAS'!$A:$G,7,0),0),0)+IF(AC113&lt;&gt;"",AD113*IFERROR(VLOOKUP(AC113,'DATOS COSTES POLIAMIDAS'!$A:$G,7,0),0),0)+IF(AE113&lt;&gt;"",IFERROR(VLOOKUP(AE113,'DATOS COSTES MECANIZADOS'!$A:$F,6,0),0),0),4))</f>
        <v/>
      </c>
      <c r="AZ113" s="18" t="str">
        <f>IF($A113="","",ROUND(AY113+R113*CONFIGURACION!$B$6,4))</f>
        <v/>
      </c>
      <c r="BA113" s="18" t="str">
        <f>IF($A113="","",ROUND(AY113+R113*CONFIGURACION!$B$7,4))</f>
        <v/>
      </c>
      <c r="BB113" s="18" t="str">
        <f>IF($A113="","",ROUND(AY113+R113*CONFIGURACION!$B$5,4))</f>
        <v/>
      </c>
      <c r="BC113" s="18" t="str">
        <f>IF($A113="","",ROUND(AY113+R113*CONFIGURACION!$B$10+R113*T113*CONFIGURACION!$B$11,4))</f>
        <v/>
      </c>
      <c r="BD113" s="18" t="str">
        <f>IF($A113="","",ROUND(AY113+R113*CONFIGURACION!$B$8,4))</f>
        <v/>
      </c>
      <c r="BE113" s="18" t="str">
        <f>IF($A113="","",ROUND(AY113+R113*CONFIGURACION!$B$9,4))</f>
        <v/>
      </c>
      <c r="BF113" s="18" t="str">
        <f>IF($A113="","",ROUND(AY113+R113*CONFIGURACION!$B$13,4))</f>
        <v/>
      </c>
      <c r="BG113" s="18" t="str">
        <f>IF($A113="","",ROUND(AY113+R113*CONFIGURACION!$B$12,4))</f>
        <v/>
      </c>
      <c r="BH113" s="18" t="str">
        <f t="shared" si="35"/>
        <v/>
      </c>
      <c r="BI113" s="18" t="str">
        <f t="shared" si="36"/>
        <v/>
      </c>
      <c r="BJ113" s="18" t="str">
        <f t="shared" si="37"/>
        <v/>
      </c>
      <c r="BK113" s="18" t="str">
        <f t="shared" si="38"/>
        <v/>
      </c>
      <c r="BL113" s="18" t="str">
        <f t="shared" si="39"/>
        <v/>
      </c>
      <c r="BM113" s="18" t="str">
        <f t="shared" si="40"/>
        <v/>
      </c>
      <c r="BN113" s="18" t="str">
        <f t="shared" si="41"/>
        <v/>
      </c>
      <c r="BO113" s="18" t="str">
        <f t="shared" si="42"/>
        <v/>
      </c>
      <c r="BP113" s="18" t="str">
        <f t="shared" si="43"/>
        <v/>
      </c>
      <c r="BQ113" s="16"/>
      <c r="BR113" s="16"/>
      <c r="BS113" s="17"/>
    </row>
    <row r="114" spans="1:71" ht="16.05" customHeight="1" x14ac:dyDescent="0.3">
      <c r="A114" s="16"/>
      <c r="B114" s="16"/>
      <c r="C114" s="17"/>
      <c r="D114" s="17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7" t="str">
        <f t="shared" si="33"/>
        <v/>
      </c>
      <c r="V114" s="17" t="str">
        <f t="shared" si="34"/>
        <v/>
      </c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8" t="str">
        <f>IF($A114="","",ROUND(P114*CONFIGURACION!$B$2+IF(W114&lt;&gt;"",X114*IFERROR(VLOOKUP(W114,'DATOS COSTES POLIAMIDAS'!$A:$G,7,0),0),0)+IF(Y114&lt;&gt;"",Z114*IFERROR(VLOOKUP(Y114,'DATOS COSTES POLIAMIDAS'!$A:$G,7,0),0),0)+IF(AA114&lt;&gt;"",AB114*IFERROR(VLOOKUP(AA114,'DATOS COSTES POLIAMIDAS'!$A:$G,7,0),0),0)+IF(AC114&lt;&gt;"",AD114*IFERROR(VLOOKUP(AC114,'DATOS COSTES POLIAMIDAS'!$A:$G,7,0),0),0)+IF(AE114&lt;&gt;"",IFERROR(VLOOKUP(AE114,'DATOS COSTES MECANIZADOS'!$A:$F,6,0),0),0),4))</f>
        <v/>
      </c>
      <c r="AZ114" s="18" t="str">
        <f>IF($A114="","",ROUND(AY114+R114*CONFIGURACION!$B$6,4))</f>
        <v/>
      </c>
      <c r="BA114" s="18" t="str">
        <f>IF($A114="","",ROUND(AY114+R114*CONFIGURACION!$B$7,4))</f>
        <v/>
      </c>
      <c r="BB114" s="18" t="str">
        <f>IF($A114="","",ROUND(AY114+R114*CONFIGURACION!$B$5,4))</f>
        <v/>
      </c>
      <c r="BC114" s="18" t="str">
        <f>IF($A114="","",ROUND(AY114+R114*CONFIGURACION!$B$10+R114*T114*CONFIGURACION!$B$11,4))</f>
        <v/>
      </c>
      <c r="BD114" s="18" t="str">
        <f>IF($A114="","",ROUND(AY114+R114*CONFIGURACION!$B$8,4))</f>
        <v/>
      </c>
      <c r="BE114" s="18" t="str">
        <f>IF($A114="","",ROUND(AY114+R114*CONFIGURACION!$B$9,4))</f>
        <v/>
      </c>
      <c r="BF114" s="18" t="str">
        <f>IF($A114="","",ROUND(AY114+R114*CONFIGURACION!$B$13,4))</f>
        <v/>
      </c>
      <c r="BG114" s="18" t="str">
        <f>IF($A114="","",ROUND(AY114+R114*CONFIGURACION!$B$12,4))</f>
        <v/>
      </c>
      <c r="BH114" s="18" t="str">
        <f t="shared" si="35"/>
        <v/>
      </c>
      <c r="BI114" s="18" t="str">
        <f t="shared" si="36"/>
        <v/>
      </c>
      <c r="BJ114" s="18" t="str">
        <f t="shared" si="37"/>
        <v/>
      </c>
      <c r="BK114" s="18" t="str">
        <f t="shared" si="38"/>
        <v/>
      </c>
      <c r="BL114" s="18" t="str">
        <f t="shared" si="39"/>
        <v/>
      </c>
      <c r="BM114" s="18" t="str">
        <f t="shared" si="40"/>
        <v/>
      </c>
      <c r="BN114" s="18" t="str">
        <f t="shared" si="41"/>
        <v/>
      </c>
      <c r="BO114" s="18" t="str">
        <f t="shared" si="42"/>
        <v/>
      </c>
      <c r="BP114" s="18" t="str">
        <f t="shared" si="43"/>
        <v/>
      </c>
      <c r="BQ114" s="16"/>
      <c r="BR114" s="16"/>
      <c r="BS114" s="17"/>
    </row>
    <row r="115" spans="1:71" ht="16.05" customHeight="1" x14ac:dyDescent="0.3">
      <c r="A115" s="16"/>
      <c r="B115" s="16"/>
      <c r="C115" s="17"/>
      <c r="D115" s="17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7" t="str">
        <f t="shared" si="33"/>
        <v/>
      </c>
      <c r="V115" s="17" t="str">
        <f t="shared" si="34"/>
        <v/>
      </c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8" t="str">
        <f>IF($A115="","",ROUND(P115*CONFIGURACION!$B$2+IF(W115&lt;&gt;"",X115*IFERROR(VLOOKUP(W115,'DATOS COSTES POLIAMIDAS'!$A:$G,7,0),0),0)+IF(Y115&lt;&gt;"",Z115*IFERROR(VLOOKUP(Y115,'DATOS COSTES POLIAMIDAS'!$A:$G,7,0),0),0)+IF(AA115&lt;&gt;"",AB115*IFERROR(VLOOKUP(AA115,'DATOS COSTES POLIAMIDAS'!$A:$G,7,0),0),0)+IF(AC115&lt;&gt;"",AD115*IFERROR(VLOOKUP(AC115,'DATOS COSTES POLIAMIDAS'!$A:$G,7,0),0),0)+IF(AE115&lt;&gt;"",IFERROR(VLOOKUP(AE115,'DATOS COSTES MECANIZADOS'!$A:$F,6,0),0),0),4))</f>
        <v/>
      </c>
      <c r="AZ115" s="18" t="str">
        <f>IF($A115="","",ROUND(AY115+R115*CONFIGURACION!$B$6,4))</f>
        <v/>
      </c>
      <c r="BA115" s="18" t="str">
        <f>IF($A115="","",ROUND(AY115+R115*CONFIGURACION!$B$7,4))</f>
        <v/>
      </c>
      <c r="BB115" s="18" t="str">
        <f>IF($A115="","",ROUND(AY115+R115*CONFIGURACION!$B$5,4))</f>
        <v/>
      </c>
      <c r="BC115" s="18" t="str">
        <f>IF($A115="","",ROUND(AY115+R115*CONFIGURACION!$B$10+R115*T115*CONFIGURACION!$B$11,4))</f>
        <v/>
      </c>
      <c r="BD115" s="18" t="str">
        <f>IF($A115="","",ROUND(AY115+R115*CONFIGURACION!$B$8,4))</f>
        <v/>
      </c>
      <c r="BE115" s="18" t="str">
        <f>IF($A115="","",ROUND(AY115+R115*CONFIGURACION!$B$9,4))</f>
        <v/>
      </c>
      <c r="BF115" s="18" t="str">
        <f>IF($A115="","",ROUND(AY115+R115*CONFIGURACION!$B$13,4))</f>
        <v/>
      </c>
      <c r="BG115" s="18" t="str">
        <f>IF($A115="","",ROUND(AY115+R115*CONFIGURACION!$B$12,4))</f>
        <v/>
      </c>
      <c r="BH115" s="18" t="str">
        <f t="shared" si="35"/>
        <v/>
      </c>
      <c r="BI115" s="18" t="str">
        <f t="shared" si="36"/>
        <v/>
      </c>
      <c r="BJ115" s="18" t="str">
        <f t="shared" si="37"/>
        <v/>
      </c>
      <c r="BK115" s="18" t="str">
        <f t="shared" si="38"/>
        <v/>
      </c>
      <c r="BL115" s="18" t="str">
        <f t="shared" si="39"/>
        <v/>
      </c>
      <c r="BM115" s="18" t="str">
        <f t="shared" si="40"/>
        <v/>
      </c>
      <c r="BN115" s="18" t="str">
        <f t="shared" si="41"/>
        <v/>
      </c>
      <c r="BO115" s="18" t="str">
        <f t="shared" si="42"/>
        <v/>
      </c>
      <c r="BP115" s="18" t="str">
        <f t="shared" si="43"/>
        <v/>
      </c>
      <c r="BQ115" s="16"/>
      <c r="BR115" s="16"/>
      <c r="BS115" s="17"/>
    </row>
    <row r="116" spans="1:71" ht="16.05" customHeight="1" x14ac:dyDescent="0.3">
      <c r="A116" s="16"/>
      <c r="B116" s="16"/>
      <c r="C116" s="17"/>
      <c r="D116" s="17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7" t="str">
        <f t="shared" si="33"/>
        <v/>
      </c>
      <c r="V116" s="17" t="str">
        <f t="shared" si="34"/>
        <v/>
      </c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8" t="str">
        <f>IF($A116="","",ROUND(P116*CONFIGURACION!$B$2+IF(W116&lt;&gt;"",X116*IFERROR(VLOOKUP(W116,'DATOS COSTES POLIAMIDAS'!$A:$G,7,0),0),0)+IF(Y116&lt;&gt;"",Z116*IFERROR(VLOOKUP(Y116,'DATOS COSTES POLIAMIDAS'!$A:$G,7,0),0),0)+IF(AA116&lt;&gt;"",AB116*IFERROR(VLOOKUP(AA116,'DATOS COSTES POLIAMIDAS'!$A:$G,7,0),0),0)+IF(AC116&lt;&gt;"",AD116*IFERROR(VLOOKUP(AC116,'DATOS COSTES POLIAMIDAS'!$A:$G,7,0),0),0)+IF(AE116&lt;&gt;"",IFERROR(VLOOKUP(AE116,'DATOS COSTES MECANIZADOS'!$A:$F,6,0),0),0),4))</f>
        <v/>
      </c>
      <c r="AZ116" s="18" t="str">
        <f>IF($A116="","",ROUND(AY116+R116*CONFIGURACION!$B$6,4))</f>
        <v/>
      </c>
      <c r="BA116" s="18" t="str">
        <f>IF($A116="","",ROUND(AY116+R116*CONFIGURACION!$B$7,4))</f>
        <v/>
      </c>
      <c r="BB116" s="18" t="str">
        <f>IF($A116="","",ROUND(AY116+R116*CONFIGURACION!$B$5,4))</f>
        <v/>
      </c>
      <c r="BC116" s="18" t="str">
        <f>IF($A116="","",ROUND(AY116+R116*CONFIGURACION!$B$10+R116*T116*CONFIGURACION!$B$11,4))</f>
        <v/>
      </c>
      <c r="BD116" s="18" t="str">
        <f>IF($A116="","",ROUND(AY116+R116*CONFIGURACION!$B$8,4))</f>
        <v/>
      </c>
      <c r="BE116" s="18" t="str">
        <f>IF($A116="","",ROUND(AY116+R116*CONFIGURACION!$B$9,4))</f>
        <v/>
      </c>
      <c r="BF116" s="18" t="str">
        <f>IF($A116="","",ROUND(AY116+R116*CONFIGURACION!$B$13,4))</f>
        <v/>
      </c>
      <c r="BG116" s="18" t="str">
        <f>IF($A116="","",ROUND(AY116+R116*CONFIGURACION!$B$12,4))</f>
        <v/>
      </c>
      <c r="BH116" s="18" t="str">
        <f t="shared" si="35"/>
        <v/>
      </c>
      <c r="BI116" s="18" t="str">
        <f t="shared" si="36"/>
        <v/>
      </c>
      <c r="BJ116" s="18" t="str">
        <f t="shared" si="37"/>
        <v/>
      </c>
      <c r="BK116" s="18" t="str">
        <f t="shared" si="38"/>
        <v/>
      </c>
      <c r="BL116" s="18" t="str">
        <f t="shared" si="39"/>
        <v/>
      </c>
      <c r="BM116" s="18" t="str">
        <f t="shared" si="40"/>
        <v/>
      </c>
      <c r="BN116" s="18" t="str">
        <f t="shared" si="41"/>
        <v/>
      </c>
      <c r="BO116" s="18" t="str">
        <f t="shared" si="42"/>
        <v/>
      </c>
      <c r="BP116" s="18" t="str">
        <f t="shared" si="43"/>
        <v/>
      </c>
      <c r="BQ116" s="16"/>
      <c r="BR116" s="16"/>
      <c r="BS116" s="17"/>
    </row>
    <row r="117" spans="1:71" ht="16.05" customHeight="1" x14ac:dyDescent="0.3">
      <c r="A117" s="16"/>
      <c r="B117" s="16"/>
      <c r="C117" s="17"/>
      <c r="D117" s="17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7" t="str">
        <f t="shared" si="33"/>
        <v/>
      </c>
      <c r="V117" s="17" t="str">
        <f t="shared" si="34"/>
        <v/>
      </c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8" t="str">
        <f>IF($A117="","",ROUND(P117*CONFIGURACION!$B$2+IF(W117&lt;&gt;"",X117*IFERROR(VLOOKUP(W117,'DATOS COSTES POLIAMIDAS'!$A:$G,7,0),0),0)+IF(Y117&lt;&gt;"",Z117*IFERROR(VLOOKUP(Y117,'DATOS COSTES POLIAMIDAS'!$A:$G,7,0),0),0)+IF(AA117&lt;&gt;"",AB117*IFERROR(VLOOKUP(AA117,'DATOS COSTES POLIAMIDAS'!$A:$G,7,0),0),0)+IF(AC117&lt;&gt;"",AD117*IFERROR(VLOOKUP(AC117,'DATOS COSTES POLIAMIDAS'!$A:$G,7,0),0),0)+IF(AE117&lt;&gt;"",IFERROR(VLOOKUP(AE117,'DATOS COSTES MECANIZADOS'!$A:$F,6,0),0),0),4))</f>
        <v/>
      </c>
      <c r="AZ117" s="18" t="str">
        <f>IF($A117="","",ROUND(AY117+R117*CONFIGURACION!$B$6,4))</f>
        <v/>
      </c>
      <c r="BA117" s="18" t="str">
        <f>IF($A117="","",ROUND(AY117+R117*CONFIGURACION!$B$7,4))</f>
        <v/>
      </c>
      <c r="BB117" s="18" t="str">
        <f>IF($A117="","",ROUND(AY117+R117*CONFIGURACION!$B$5,4))</f>
        <v/>
      </c>
      <c r="BC117" s="18" t="str">
        <f>IF($A117="","",ROUND(AY117+R117*CONFIGURACION!$B$10+R117*T117*CONFIGURACION!$B$11,4))</f>
        <v/>
      </c>
      <c r="BD117" s="18" t="str">
        <f>IF($A117="","",ROUND(AY117+R117*CONFIGURACION!$B$8,4))</f>
        <v/>
      </c>
      <c r="BE117" s="18" t="str">
        <f>IF($A117="","",ROUND(AY117+R117*CONFIGURACION!$B$9,4))</f>
        <v/>
      </c>
      <c r="BF117" s="18" t="str">
        <f>IF($A117="","",ROUND(AY117+R117*CONFIGURACION!$B$13,4))</f>
        <v/>
      </c>
      <c r="BG117" s="18" t="str">
        <f>IF($A117="","",ROUND(AY117+R117*CONFIGURACION!$B$12,4))</f>
        <v/>
      </c>
      <c r="BH117" s="18" t="str">
        <f t="shared" si="35"/>
        <v/>
      </c>
      <c r="BI117" s="18" t="str">
        <f t="shared" si="36"/>
        <v/>
      </c>
      <c r="BJ117" s="18" t="str">
        <f t="shared" si="37"/>
        <v/>
      </c>
      <c r="BK117" s="18" t="str">
        <f t="shared" si="38"/>
        <v/>
      </c>
      <c r="BL117" s="18" t="str">
        <f t="shared" si="39"/>
        <v/>
      </c>
      <c r="BM117" s="18" t="str">
        <f t="shared" si="40"/>
        <v/>
      </c>
      <c r="BN117" s="18" t="str">
        <f t="shared" si="41"/>
        <v/>
      </c>
      <c r="BO117" s="18" t="str">
        <f t="shared" si="42"/>
        <v/>
      </c>
      <c r="BP117" s="18" t="str">
        <f t="shared" si="43"/>
        <v/>
      </c>
      <c r="BQ117" s="16"/>
      <c r="BR117" s="16"/>
      <c r="BS117" s="17"/>
    </row>
    <row r="118" spans="1:71" ht="16.05" customHeight="1" x14ac:dyDescent="0.3">
      <c r="A118" s="16"/>
      <c r="B118" s="16"/>
      <c r="C118" s="17"/>
      <c r="D118" s="17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7" t="str">
        <f t="shared" si="33"/>
        <v/>
      </c>
      <c r="V118" s="17" t="str">
        <f t="shared" si="34"/>
        <v/>
      </c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8" t="str">
        <f>IF($A118="","",ROUND(P118*CONFIGURACION!$B$2+IF(W118&lt;&gt;"",X118*IFERROR(VLOOKUP(W118,'DATOS COSTES POLIAMIDAS'!$A:$G,7,0),0),0)+IF(Y118&lt;&gt;"",Z118*IFERROR(VLOOKUP(Y118,'DATOS COSTES POLIAMIDAS'!$A:$G,7,0),0),0)+IF(AA118&lt;&gt;"",AB118*IFERROR(VLOOKUP(AA118,'DATOS COSTES POLIAMIDAS'!$A:$G,7,0),0),0)+IF(AC118&lt;&gt;"",AD118*IFERROR(VLOOKUP(AC118,'DATOS COSTES POLIAMIDAS'!$A:$G,7,0),0),0)+IF(AE118&lt;&gt;"",IFERROR(VLOOKUP(AE118,'DATOS COSTES MECANIZADOS'!$A:$F,6,0),0),0),4))</f>
        <v/>
      </c>
      <c r="AZ118" s="18" t="str">
        <f>IF($A118="","",ROUND(AY118+R118*CONFIGURACION!$B$6,4))</f>
        <v/>
      </c>
      <c r="BA118" s="18" t="str">
        <f>IF($A118="","",ROUND(AY118+R118*CONFIGURACION!$B$7,4))</f>
        <v/>
      </c>
      <c r="BB118" s="18" t="str">
        <f>IF($A118="","",ROUND(AY118+R118*CONFIGURACION!$B$5,4))</f>
        <v/>
      </c>
      <c r="BC118" s="18" t="str">
        <f>IF($A118="","",ROUND(AY118+R118*CONFIGURACION!$B$10+R118*T118*CONFIGURACION!$B$11,4))</f>
        <v/>
      </c>
      <c r="BD118" s="18" t="str">
        <f>IF($A118="","",ROUND(AY118+R118*CONFIGURACION!$B$8,4))</f>
        <v/>
      </c>
      <c r="BE118" s="18" t="str">
        <f>IF($A118="","",ROUND(AY118+R118*CONFIGURACION!$B$9,4))</f>
        <v/>
      </c>
      <c r="BF118" s="18" t="str">
        <f>IF($A118="","",ROUND(AY118+R118*CONFIGURACION!$B$13,4))</f>
        <v/>
      </c>
      <c r="BG118" s="18" t="str">
        <f>IF($A118="","",ROUND(AY118+R118*CONFIGURACION!$B$12,4))</f>
        <v/>
      </c>
      <c r="BH118" s="18" t="str">
        <f t="shared" si="35"/>
        <v/>
      </c>
      <c r="BI118" s="18" t="str">
        <f t="shared" si="36"/>
        <v/>
      </c>
      <c r="BJ118" s="18" t="str">
        <f t="shared" si="37"/>
        <v/>
      </c>
      <c r="BK118" s="18" t="str">
        <f t="shared" si="38"/>
        <v/>
      </c>
      <c r="BL118" s="18" t="str">
        <f t="shared" si="39"/>
        <v/>
      </c>
      <c r="BM118" s="18" t="str">
        <f t="shared" si="40"/>
        <v/>
      </c>
      <c r="BN118" s="18" t="str">
        <f t="shared" si="41"/>
        <v/>
      </c>
      <c r="BO118" s="18" t="str">
        <f t="shared" si="42"/>
        <v/>
      </c>
      <c r="BP118" s="18" t="str">
        <f t="shared" si="43"/>
        <v/>
      </c>
      <c r="BQ118" s="16"/>
      <c r="BR118" s="16"/>
      <c r="BS118" s="17"/>
    </row>
    <row r="119" spans="1:71" ht="16.05" customHeight="1" x14ac:dyDescent="0.3">
      <c r="A119" s="16"/>
      <c r="B119" s="16"/>
      <c r="C119" s="17"/>
      <c r="D119" s="17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7" t="str">
        <f t="shared" si="33"/>
        <v/>
      </c>
      <c r="V119" s="17" t="str">
        <f t="shared" si="34"/>
        <v/>
      </c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8" t="str">
        <f>IF($A119="","",ROUND(P119*CONFIGURACION!$B$2+IF(W119&lt;&gt;"",X119*IFERROR(VLOOKUP(W119,'DATOS COSTES POLIAMIDAS'!$A:$G,7,0),0),0)+IF(Y119&lt;&gt;"",Z119*IFERROR(VLOOKUP(Y119,'DATOS COSTES POLIAMIDAS'!$A:$G,7,0),0),0)+IF(AA119&lt;&gt;"",AB119*IFERROR(VLOOKUP(AA119,'DATOS COSTES POLIAMIDAS'!$A:$G,7,0),0),0)+IF(AC119&lt;&gt;"",AD119*IFERROR(VLOOKUP(AC119,'DATOS COSTES POLIAMIDAS'!$A:$G,7,0),0),0)+IF(AE119&lt;&gt;"",IFERROR(VLOOKUP(AE119,'DATOS COSTES MECANIZADOS'!$A:$F,6,0),0),0),4))</f>
        <v/>
      </c>
      <c r="AZ119" s="18" t="str">
        <f>IF($A119="","",ROUND(AY119+R119*CONFIGURACION!$B$6,4))</f>
        <v/>
      </c>
      <c r="BA119" s="18" t="str">
        <f>IF($A119="","",ROUND(AY119+R119*CONFIGURACION!$B$7,4))</f>
        <v/>
      </c>
      <c r="BB119" s="18" t="str">
        <f>IF($A119="","",ROUND(AY119+R119*CONFIGURACION!$B$5,4))</f>
        <v/>
      </c>
      <c r="BC119" s="18" t="str">
        <f>IF($A119="","",ROUND(AY119+R119*CONFIGURACION!$B$10+R119*T119*CONFIGURACION!$B$11,4))</f>
        <v/>
      </c>
      <c r="BD119" s="18" t="str">
        <f>IF($A119="","",ROUND(AY119+R119*CONFIGURACION!$B$8,4))</f>
        <v/>
      </c>
      <c r="BE119" s="18" t="str">
        <f>IF($A119="","",ROUND(AY119+R119*CONFIGURACION!$B$9,4))</f>
        <v/>
      </c>
      <c r="BF119" s="18" t="str">
        <f>IF($A119="","",ROUND(AY119+R119*CONFIGURACION!$B$13,4))</f>
        <v/>
      </c>
      <c r="BG119" s="18" t="str">
        <f>IF($A119="","",ROUND(AY119+R119*CONFIGURACION!$B$12,4))</f>
        <v/>
      </c>
      <c r="BH119" s="18" t="str">
        <f t="shared" si="35"/>
        <v/>
      </c>
      <c r="BI119" s="18" t="str">
        <f t="shared" si="36"/>
        <v/>
      </c>
      <c r="BJ119" s="18" t="str">
        <f t="shared" si="37"/>
        <v/>
      </c>
      <c r="BK119" s="18" t="str">
        <f t="shared" si="38"/>
        <v/>
      </c>
      <c r="BL119" s="18" t="str">
        <f t="shared" si="39"/>
        <v/>
      </c>
      <c r="BM119" s="18" t="str">
        <f t="shared" si="40"/>
        <v/>
      </c>
      <c r="BN119" s="18" t="str">
        <f t="shared" si="41"/>
        <v/>
      </c>
      <c r="BO119" s="18" t="str">
        <f t="shared" si="42"/>
        <v/>
      </c>
      <c r="BP119" s="18" t="str">
        <f t="shared" si="43"/>
        <v/>
      </c>
      <c r="BQ119" s="16"/>
      <c r="BR119" s="16"/>
      <c r="BS119" s="17"/>
    </row>
    <row r="120" spans="1:71" ht="16.05" customHeight="1" x14ac:dyDescent="0.3">
      <c r="A120" s="16"/>
      <c r="B120" s="16"/>
      <c r="C120" s="17"/>
      <c r="D120" s="17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7" t="str">
        <f t="shared" si="33"/>
        <v/>
      </c>
      <c r="V120" s="17" t="str">
        <f t="shared" si="34"/>
        <v/>
      </c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8" t="str">
        <f>IF($A120="","",ROUND(P120*CONFIGURACION!$B$2+IF(W120&lt;&gt;"",X120*IFERROR(VLOOKUP(W120,'DATOS COSTES POLIAMIDAS'!$A:$G,7,0),0),0)+IF(Y120&lt;&gt;"",Z120*IFERROR(VLOOKUP(Y120,'DATOS COSTES POLIAMIDAS'!$A:$G,7,0),0),0)+IF(AA120&lt;&gt;"",AB120*IFERROR(VLOOKUP(AA120,'DATOS COSTES POLIAMIDAS'!$A:$G,7,0),0),0)+IF(AC120&lt;&gt;"",AD120*IFERROR(VLOOKUP(AC120,'DATOS COSTES POLIAMIDAS'!$A:$G,7,0),0),0)+IF(AE120&lt;&gt;"",IFERROR(VLOOKUP(AE120,'DATOS COSTES MECANIZADOS'!$A:$F,6,0),0),0),4))</f>
        <v/>
      </c>
      <c r="AZ120" s="18" t="str">
        <f>IF($A120="","",ROUND(AY120+R120*CONFIGURACION!$B$6,4))</f>
        <v/>
      </c>
      <c r="BA120" s="18" t="str">
        <f>IF($A120="","",ROUND(AY120+R120*CONFIGURACION!$B$7,4))</f>
        <v/>
      </c>
      <c r="BB120" s="18" t="str">
        <f>IF($A120="","",ROUND(AY120+R120*CONFIGURACION!$B$5,4))</f>
        <v/>
      </c>
      <c r="BC120" s="18" t="str">
        <f>IF($A120="","",ROUND(AY120+R120*CONFIGURACION!$B$10+R120*T120*CONFIGURACION!$B$11,4))</f>
        <v/>
      </c>
      <c r="BD120" s="18" t="str">
        <f>IF($A120="","",ROUND(AY120+R120*CONFIGURACION!$B$8,4))</f>
        <v/>
      </c>
      <c r="BE120" s="18" t="str">
        <f>IF($A120="","",ROUND(AY120+R120*CONFIGURACION!$B$9,4))</f>
        <v/>
      </c>
      <c r="BF120" s="18" t="str">
        <f>IF($A120="","",ROUND(AY120+R120*CONFIGURACION!$B$13,4))</f>
        <v/>
      </c>
      <c r="BG120" s="18" t="str">
        <f>IF($A120="","",ROUND(AY120+R120*CONFIGURACION!$B$12,4))</f>
        <v/>
      </c>
      <c r="BH120" s="18" t="str">
        <f t="shared" si="35"/>
        <v/>
      </c>
      <c r="BI120" s="18" t="str">
        <f t="shared" si="36"/>
        <v/>
      </c>
      <c r="BJ120" s="18" t="str">
        <f t="shared" si="37"/>
        <v/>
      </c>
      <c r="BK120" s="18" t="str">
        <f t="shared" si="38"/>
        <v/>
      </c>
      <c r="BL120" s="18" t="str">
        <f t="shared" si="39"/>
        <v/>
      </c>
      <c r="BM120" s="18" t="str">
        <f t="shared" si="40"/>
        <v/>
      </c>
      <c r="BN120" s="18" t="str">
        <f t="shared" si="41"/>
        <v/>
      </c>
      <c r="BO120" s="18" t="str">
        <f t="shared" si="42"/>
        <v/>
      </c>
      <c r="BP120" s="18" t="str">
        <f t="shared" si="43"/>
        <v/>
      </c>
      <c r="BQ120" s="16"/>
      <c r="BR120" s="16"/>
      <c r="BS120" s="17"/>
    </row>
    <row r="121" spans="1:71" ht="16.05" customHeight="1" x14ac:dyDescent="0.3">
      <c r="A121" s="16"/>
      <c r="B121" s="16"/>
      <c r="C121" s="17"/>
      <c r="D121" s="17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7" t="str">
        <f t="shared" si="33"/>
        <v/>
      </c>
      <c r="V121" s="17" t="str">
        <f t="shared" si="34"/>
        <v/>
      </c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8" t="str">
        <f>IF($A121="","",ROUND(P121*CONFIGURACION!$B$2+IF(W121&lt;&gt;"",X121*IFERROR(VLOOKUP(W121,'DATOS COSTES POLIAMIDAS'!$A:$G,7,0),0),0)+IF(Y121&lt;&gt;"",Z121*IFERROR(VLOOKUP(Y121,'DATOS COSTES POLIAMIDAS'!$A:$G,7,0),0),0)+IF(AA121&lt;&gt;"",AB121*IFERROR(VLOOKUP(AA121,'DATOS COSTES POLIAMIDAS'!$A:$G,7,0),0),0)+IF(AC121&lt;&gt;"",AD121*IFERROR(VLOOKUP(AC121,'DATOS COSTES POLIAMIDAS'!$A:$G,7,0),0),0)+IF(AE121&lt;&gt;"",IFERROR(VLOOKUP(AE121,'DATOS COSTES MECANIZADOS'!$A:$F,6,0),0),0),4))</f>
        <v/>
      </c>
      <c r="AZ121" s="18" t="str">
        <f>IF($A121="","",ROUND(AY121+R121*CONFIGURACION!$B$6,4))</f>
        <v/>
      </c>
      <c r="BA121" s="18" t="str">
        <f>IF($A121="","",ROUND(AY121+R121*CONFIGURACION!$B$7,4))</f>
        <v/>
      </c>
      <c r="BB121" s="18" t="str">
        <f>IF($A121="","",ROUND(AY121+R121*CONFIGURACION!$B$5,4))</f>
        <v/>
      </c>
      <c r="BC121" s="18" t="str">
        <f>IF($A121="","",ROUND(AY121+R121*CONFIGURACION!$B$10+R121*T121*CONFIGURACION!$B$11,4))</f>
        <v/>
      </c>
      <c r="BD121" s="18" t="str">
        <f>IF($A121="","",ROUND(AY121+R121*CONFIGURACION!$B$8,4))</f>
        <v/>
      </c>
      <c r="BE121" s="18" t="str">
        <f>IF($A121="","",ROUND(AY121+R121*CONFIGURACION!$B$9,4))</f>
        <v/>
      </c>
      <c r="BF121" s="18" t="str">
        <f>IF($A121="","",ROUND(AY121+R121*CONFIGURACION!$B$13,4))</f>
        <v/>
      </c>
      <c r="BG121" s="18" t="str">
        <f>IF($A121="","",ROUND(AY121+R121*CONFIGURACION!$B$12,4))</f>
        <v/>
      </c>
      <c r="BH121" s="18" t="str">
        <f t="shared" si="35"/>
        <v/>
      </c>
      <c r="BI121" s="18" t="str">
        <f t="shared" si="36"/>
        <v/>
      </c>
      <c r="BJ121" s="18" t="str">
        <f t="shared" si="37"/>
        <v/>
      </c>
      <c r="BK121" s="18" t="str">
        <f t="shared" si="38"/>
        <v/>
      </c>
      <c r="BL121" s="18" t="str">
        <f t="shared" si="39"/>
        <v/>
      </c>
      <c r="BM121" s="18" t="str">
        <f t="shared" si="40"/>
        <v/>
      </c>
      <c r="BN121" s="18" t="str">
        <f t="shared" si="41"/>
        <v/>
      </c>
      <c r="BO121" s="18" t="str">
        <f t="shared" si="42"/>
        <v/>
      </c>
      <c r="BP121" s="18" t="str">
        <f t="shared" si="43"/>
        <v/>
      </c>
      <c r="BQ121" s="16"/>
      <c r="BR121" s="16"/>
      <c r="BS121" s="17"/>
    </row>
    <row r="122" spans="1:71" ht="16.05" customHeight="1" x14ac:dyDescent="0.3">
      <c r="A122" s="16"/>
      <c r="B122" s="16"/>
      <c r="C122" s="17"/>
      <c r="D122" s="17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7" t="str">
        <f t="shared" si="33"/>
        <v/>
      </c>
      <c r="V122" s="17" t="str">
        <f t="shared" si="34"/>
        <v/>
      </c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8" t="str">
        <f>IF($A122="","",ROUND(P122*CONFIGURACION!$B$2+IF(W122&lt;&gt;"",X122*IFERROR(VLOOKUP(W122,'DATOS COSTES POLIAMIDAS'!$A:$G,7,0),0),0)+IF(Y122&lt;&gt;"",Z122*IFERROR(VLOOKUP(Y122,'DATOS COSTES POLIAMIDAS'!$A:$G,7,0),0),0)+IF(AA122&lt;&gt;"",AB122*IFERROR(VLOOKUP(AA122,'DATOS COSTES POLIAMIDAS'!$A:$G,7,0),0),0)+IF(AC122&lt;&gt;"",AD122*IFERROR(VLOOKUP(AC122,'DATOS COSTES POLIAMIDAS'!$A:$G,7,0),0),0)+IF(AE122&lt;&gt;"",IFERROR(VLOOKUP(AE122,'DATOS COSTES MECANIZADOS'!$A:$F,6,0),0),0),4))</f>
        <v/>
      </c>
      <c r="AZ122" s="18" t="str">
        <f>IF($A122="","",ROUND(AY122+R122*CONFIGURACION!$B$6,4))</f>
        <v/>
      </c>
      <c r="BA122" s="18" t="str">
        <f>IF($A122="","",ROUND(AY122+R122*CONFIGURACION!$B$7,4))</f>
        <v/>
      </c>
      <c r="BB122" s="18" t="str">
        <f>IF($A122="","",ROUND(AY122+R122*CONFIGURACION!$B$5,4))</f>
        <v/>
      </c>
      <c r="BC122" s="18" t="str">
        <f>IF($A122="","",ROUND(AY122+R122*CONFIGURACION!$B$10+R122*T122*CONFIGURACION!$B$11,4))</f>
        <v/>
      </c>
      <c r="BD122" s="18" t="str">
        <f>IF($A122="","",ROUND(AY122+R122*CONFIGURACION!$B$8,4))</f>
        <v/>
      </c>
      <c r="BE122" s="18" t="str">
        <f>IF($A122="","",ROUND(AY122+R122*CONFIGURACION!$B$9,4))</f>
        <v/>
      </c>
      <c r="BF122" s="18" t="str">
        <f>IF($A122="","",ROUND(AY122+R122*CONFIGURACION!$B$13,4))</f>
        <v/>
      </c>
      <c r="BG122" s="18" t="str">
        <f>IF($A122="","",ROUND(AY122+R122*CONFIGURACION!$B$12,4))</f>
        <v/>
      </c>
      <c r="BH122" s="18" t="str">
        <f t="shared" si="35"/>
        <v/>
      </c>
      <c r="BI122" s="18" t="str">
        <f t="shared" si="36"/>
        <v/>
      </c>
      <c r="BJ122" s="18" t="str">
        <f t="shared" si="37"/>
        <v/>
      </c>
      <c r="BK122" s="18" t="str">
        <f t="shared" si="38"/>
        <v/>
      </c>
      <c r="BL122" s="18" t="str">
        <f t="shared" si="39"/>
        <v/>
      </c>
      <c r="BM122" s="18" t="str">
        <f t="shared" si="40"/>
        <v/>
      </c>
      <c r="BN122" s="18" t="str">
        <f t="shared" si="41"/>
        <v/>
      </c>
      <c r="BO122" s="18" t="str">
        <f t="shared" si="42"/>
        <v/>
      </c>
      <c r="BP122" s="18" t="str">
        <f t="shared" si="43"/>
        <v/>
      </c>
      <c r="BQ122" s="16"/>
      <c r="BR122" s="16"/>
      <c r="BS122" s="17"/>
    </row>
    <row r="123" spans="1:71" ht="16.05" customHeight="1" x14ac:dyDescent="0.3">
      <c r="A123" s="16"/>
      <c r="B123" s="16"/>
      <c r="C123" s="17"/>
      <c r="D123" s="17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7" t="str">
        <f t="shared" si="33"/>
        <v/>
      </c>
      <c r="V123" s="17" t="str">
        <f t="shared" si="34"/>
        <v/>
      </c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8" t="str">
        <f>IF($A123="","",ROUND(P123*CONFIGURACION!$B$2+IF(W123&lt;&gt;"",X123*IFERROR(VLOOKUP(W123,'DATOS COSTES POLIAMIDAS'!$A:$G,7,0),0),0)+IF(Y123&lt;&gt;"",Z123*IFERROR(VLOOKUP(Y123,'DATOS COSTES POLIAMIDAS'!$A:$G,7,0),0),0)+IF(AA123&lt;&gt;"",AB123*IFERROR(VLOOKUP(AA123,'DATOS COSTES POLIAMIDAS'!$A:$G,7,0),0),0)+IF(AC123&lt;&gt;"",AD123*IFERROR(VLOOKUP(AC123,'DATOS COSTES POLIAMIDAS'!$A:$G,7,0),0),0)+IF(AE123&lt;&gt;"",IFERROR(VLOOKUP(AE123,'DATOS COSTES MECANIZADOS'!$A:$F,6,0),0),0),4))</f>
        <v/>
      </c>
      <c r="AZ123" s="18" t="str">
        <f>IF($A123="","",ROUND(AY123+R123*CONFIGURACION!$B$6,4))</f>
        <v/>
      </c>
      <c r="BA123" s="18" t="str">
        <f>IF($A123="","",ROUND(AY123+R123*CONFIGURACION!$B$7,4))</f>
        <v/>
      </c>
      <c r="BB123" s="18" t="str">
        <f>IF($A123="","",ROUND(AY123+R123*CONFIGURACION!$B$5,4))</f>
        <v/>
      </c>
      <c r="BC123" s="18" t="str">
        <f>IF($A123="","",ROUND(AY123+R123*CONFIGURACION!$B$10+R123*T123*CONFIGURACION!$B$11,4))</f>
        <v/>
      </c>
      <c r="BD123" s="18" t="str">
        <f>IF($A123="","",ROUND(AY123+R123*CONFIGURACION!$B$8,4))</f>
        <v/>
      </c>
      <c r="BE123" s="18" t="str">
        <f>IF($A123="","",ROUND(AY123+R123*CONFIGURACION!$B$9,4))</f>
        <v/>
      </c>
      <c r="BF123" s="18" t="str">
        <f>IF($A123="","",ROUND(AY123+R123*CONFIGURACION!$B$13,4))</f>
        <v/>
      </c>
      <c r="BG123" s="18" t="str">
        <f>IF($A123="","",ROUND(AY123+R123*CONFIGURACION!$B$12,4))</f>
        <v/>
      </c>
      <c r="BH123" s="18" t="str">
        <f t="shared" si="35"/>
        <v/>
      </c>
      <c r="BI123" s="18" t="str">
        <f t="shared" si="36"/>
        <v/>
      </c>
      <c r="BJ123" s="18" t="str">
        <f t="shared" si="37"/>
        <v/>
      </c>
      <c r="BK123" s="18" t="str">
        <f t="shared" si="38"/>
        <v/>
      </c>
      <c r="BL123" s="18" t="str">
        <f t="shared" si="39"/>
        <v/>
      </c>
      <c r="BM123" s="18" t="str">
        <f t="shared" si="40"/>
        <v/>
      </c>
      <c r="BN123" s="18" t="str">
        <f t="shared" si="41"/>
        <v/>
      </c>
      <c r="BO123" s="18" t="str">
        <f t="shared" si="42"/>
        <v/>
      </c>
      <c r="BP123" s="18" t="str">
        <f t="shared" si="43"/>
        <v/>
      </c>
      <c r="BQ123" s="16"/>
      <c r="BR123" s="16"/>
      <c r="BS123" s="17"/>
    </row>
    <row r="124" spans="1:71" ht="16.05" customHeight="1" x14ac:dyDescent="0.3">
      <c r="A124" s="16"/>
      <c r="B124" s="16"/>
      <c r="C124" s="17"/>
      <c r="D124" s="17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7" t="str">
        <f t="shared" si="33"/>
        <v/>
      </c>
      <c r="V124" s="17" t="str">
        <f t="shared" si="34"/>
        <v/>
      </c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8" t="str">
        <f>IF($A124="","",ROUND(P124*CONFIGURACION!$B$2+IF(W124&lt;&gt;"",X124*IFERROR(VLOOKUP(W124,'DATOS COSTES POLIAMIDAS'!$A:$G,7,0),0),0)+IF(Y124&lt;&gt;"",Z124*IFERROR(VLOOKUP(Y124,'DATOS COSTES POLIAMIDAS'!$A:$G,7,0),0),0)+IF(AA124&lt;&gt;"",AB124*IFERROR(VLOOKUP(AA124,'DATOS COSTES POLIAMIDAS'!$A:$G,7,0),0),0)+IF(AC124&lt;&gt;"",AD124*IFERROR(VLOOKUP(AC124,'DATOS COSTES POLIAMIDAS'!$A:$G,7,0),0),0)+IF(AE124&lt;&gt;"",IFERROR(VLOOKUP(AE124,'DATOS COSTES MECANIZADOS'!$A:$F,6,0),0),0),4))</f>
        <v/>
      </c>
      <c r="AZ124" s="18" t="str">
        <f>IF($A124="","",ROUND(AY124+R124*CONFIGURACION!$B$6,4))</f>
        <v/>
      </c>
      <c r="BA124" s="18" t="str">
        <f>IF($A124="","",ROUND(AY124+R124*CONFIGURACION!$B$7,4))</f>
        <v/>
      </c>
      <c r="BB124" s="18" t="str">
        <f>IF($A124="","",ROUND(AY124+R124*CONFIGURACION!$B$5,4))</f>
        <v/>
      </c>
      <c r="BC124" s="18" t="str">
        <f>IF($A124="","",ROUND(AY124+R124*CONFIGURACION!$B$10+R124*T124*CONFIGURACION!$B$11,4))</f>
        <v/>
      </c>
      <c r="BD124" s="18" t="str">
        <f>IF($A124="","",ROUND(AY124+R124*CONFIGURACION!$B$8,4))</f>
        <v/>
      </c>
      <c r="BE124" s="18" t="str">
        <f>IF($A124="","",ROUND(AY124+R124*CONFIGURACION!$B$9,4))</f>
        <v/>
      </c>
      <c r="BF124" s="18" t="str">
        <f>IF($A124="","",ROUND(AY124+R124*CONFIGURACION!$B$13,4))</f>
        <v/>
      </c>
      <c r="BG124" s="18" t="str">
        <f>IF($A124="","",ROUND(AY124+R124*CONFIGURACION!$B$12,4))</f>
        <v/>
      </c>
      <c r="BH124" s="18" t="str">
        <f t="shared" si="35"/>
        <v/>
      </c>
      <c r="BI124" s="18" t="str">
        <f t="shared" si="36"/>
        <v/>
      </c>
      <c r="BJ124" s="18" t="str">
        <f t="shared" si="37"/>
        <v/>
      </c>
      <c r="BK124" s="18" t="str">
        <f t="shared" si="38"/>
        <v/>
      </c>
      <c r="BL124" s="18" t="str">
        <f t="shared" si="39"/>
        <v/>
      </c>
      <c r="BM124" s="18" t="str">
        <f t="shared" si="40"/>
        <v/>
      </c>
      <c r="BN124" s="18" t="str">
        <f t="shared" si="41"/>
        <v/>
      </c>
      <c r="BO124" s="18" t="str">
        <f t="shared" si="42"/>
        <v/>
      </c>
      <c r="BP124" s="18" t="str">
        <f t="shared" si="43"/>
        <v/>
      </c>
      <c r="BQ124" s="16"/>
      <c r="BR124" s="16"/>
      <c r="BS124" s="17"/>
    </row>
    <row r="125" spans="1:71" ht="16.05" customHeight="1" x14ac:dyDescent="0.3">
      <c r="A125" s="16"/>
      <c r="B125" s="16"/>
      <c r="C125" s="17"/>
      <c r="D125" s="17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7" t="str">
        <f t="shared" si="33"/>
        <v/>
      </c>
      <c r="V125" s="17" t="str">
        <f t="shared" si="34"/>
        <v/>
      </c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8" t="str">
        <f>IF($A125="","",ROUND(P125*CONFIGURACION!$B$2+IF(W125&lt;&gt;"",X125*IFERROR(VLOOKUP(W125,'DATOS COSTES POLIAMIDAS'!$A:$G,7,0),0),0)+IF(Y125&lt;&gt;"",Z125*IFERROR(VLOOKUP(Y125,'DATOS COSTES POLIAMIDAS'!$A:$G,7,0),0),0)+IF(AA125&lt;&gt;"",AB125*IFERROR(VLOOKUP(AA125,'DATOS COSTES POLIAMIDAS'!$A:$G,7,0),0),0)+IF(AC125&lt;&gt;"",AD125*IFERROR(VLOOKUP(AC125,'DATOS COSTES POLIAMIDAS'!$A:$G,7,0),0),0)+IF(AE125&lt;&gt;"",IFERROR(VLOOKUP(AE125,'DATOS COSTES MECANIZADOS'!$A:$F,6,0),0),0),4))</f>
        <v/>
      </c>
      <c r="AZ125" s="18" t="str">
        <f>IF($A125="","",ROUND(AY125+R125*CONFIGURACION!$B$6,4))</f>
        <v/>
      </c>
      <c r="BA125" s="18" t="str">
        <f>IF($A125="","",ROUND(AY125+R125*CONFIGURACION!$B$7,4))</f>
        <v/>
      </c>
      <c r="BB125" s="18" t="str">
        <f>IF($A125="","",ROUND(AY125+R125*CONFIGURACION!$B$5,4))</f>
        <v/>
      </c>
      <c r="BC125" s="18" t="str">
        <f>IF($A125="","",ROUND(AY125+R125*CONFIGURACION!$B$10+R125*T125*CONFIGURACION!$B$11,4))</f>
        <v/>
      </c>
      <c r="BD125" s="18" t="str">
        <f>IF($A125="","",ROUND(AY125+R125*CONFIGURACION!$B$8,4))</f>
        <v/>
      </c>
      <c r="BE125" s="18" t="str">
        <f>IF($A125="","",ROUND(AY125+R125*CONFIGURACION!$B$9,4))</f>
        <v/>
      </c>
      <c r="BF125" s="18" t="str">
        <f>IF($A125="","",ROUND(AY125+R125*CONFIGURACION!$B$13,4))</f>
        <v/>
      </c>
      <c r="BG125" s="18" t="str">
        <f>IF($A125="","",ROUND(AY125+R125*CONFIGURACION!$B$12,4))</f>
        <v/>
      </c>
      <c r="BH125" s="18" t="str">
        <f t="shared" si="35"/>
        <v/>
      </c>
      <c r="BI125" s="18" t="str">
        <f t="shared" si="36"/>
        <v/>
      </c>
      <c r="BJ125" s="18" t="str">
        <f t="shared" si="37"/>
        <v/>
      </c>
      <c r="BK125" s="18" t="str">
        <f t="shared" si="38"/>
        <v/>
      </c>
      <c r="BL125" s="18" t="str">
        <f t="shared" si="39"/>
        <v/>
      </c>
      <c r="BM125" s="18" t="str">
        <f t="shared" si="40"/>
        <v/>
      </c>
      <c r="BN125" s="18" t="str">
        <f t="shared" si="41"/>
        <v/>
      </c>
      <c r="BO125" s="18" t="str">
        <f t="shared" si="42"/>
        <v/>
      </c>
      <c r="BP125" s="18" t="str">
        <f t="shared" si="43"/>
        <v/>
      </c>
      <c r="BQ125" s="16"/>
      <c r="BR125" s="16"/>
      <c r="BS125" s="17"/>
    </row>
    <row r="126" spans="1:71" ht="16.05" customHeight="1" x14ac:dyDescent="0.3">
      <c r="A126" s="16"/>
      <c r="B126" s="16"/>
      <c r="C126" s="17"/>
      <c r="D126" s="17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7" t="str">
        <f t="shared" si="33"/>
        <v/>
      </c>
      <c r="V126" s="17" t="str">
        <f t="shared" si="34"/>
        <v/>
      </c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8" t="str">
        <f>IF($A126="","",ROUND(P126*CONFIGURACION!$B$2+IF(W126&lt;&gt;"",X126*IFERROR(VLOOKUP(W126,'DATOS COSTES POLIAMIDAS'!$A:$G,7,0),0),0)+IF(Y126&lt;&gt;"",Z126*IFERROR(VLOOKUP(Y126,'DATOS COSTES POLIAMIDAS'!$A:$G,7,0),0),0)+IF(AA126&lt;&gt;"",AB126*IFERROR(VLOOKUP(AA126,'DATOS COSTES POLIAMIDAS'!$A:$G,7,0),0),0)+IF(AC126&lt;&gt;"",AD126*IFERROR(VLOOKUP(AC126,'DATOS COSTES POLIAMIDAS'!$A:$G,7,0),0),0)+IF(AE126&lt;&gt;"",IFERROR(VLOOKUP(AE126,'DATOS COSTES MECANIZADOS'!$A:$F,6,0),0),0),4))</f>
        <v/>
      </c>
      <c r="AZ126" s="18" t="str">
        <f>IF($A126="","",ROUND(AY126+R126*CONFIGURACION!$B$6,4))</f>
        <v/>
      </c>
      <c r="BA126" s="18" t="str">
        <f>IF($A126="","",ROUND(AY126+R126*CONFIGURACION!$B$7,4))</f>
        <v/>
      </c>
      <c r="BB126" s="18" t="str">
        <f>IF($A126="","",ROUND(AY126+R126*CONFIGURACION!$B$5,4))</f>
        <v/>
      </c>
      <c r="BC126" s="18" t="str">
        <f>IF($A126="","",ROUND(AY126+R126*CONFIGURACION!$B$10+R126*T126*CONFIGURACION!$B$11,4))</f>
        <v/>
      </c>
      <c r="BD126" s="18" t="str">
        <f>IF($A126="","",ROUND(AY126+R126*CONFIGURACION!$B$8,4))</f>
        <v/>
      </c>
      <c r="BE126" s="18" t="str">
        <f>IF($A126="","",ROUND(AY126+R126*CONFIGURACION!$B$9,4))</f>
        <v/>
      </c>
      <c r="BF126" s="18" t="str">
        <f>IF($A126="","",ROUND(AY126+R126*CONFIGURACION!$B$13,4))</f>
        <v/>
      </c>
      <c r="BG126" s="18" t="str">
        <f>IF($A126="","",ROUND(AY126+R126*CONFIGURACION!$B$12,4))</f>
        <v/>
      </c>
      <c r="BH126" s="18" t="str">
        <f t="shared" si="35"/>
        <v/>
      </c>
      <c r="BI126" s="18" t="str">
        <f t="shared" si="36"/>
        <v/>
      </c>
      <c r="BJ126" s="18" t="str">
        <f t="shared" si="37"/>
        <v/>
      </c>
      <c r="BK126" s="18" t="str">
        <f t="shared" si="38"/>
        <v/>
      </c>
      <c r="BL126" s="18" t="str">
        <f t="shared" si="39"/>
        <v/>
      </c>
      <c r="BM126" s="18" t="str">
        <f t="shared" si="40"/>
        <v/>
      </c>
      <c r="BN126" s="18" t="str">
        <f t="shared" si="41"/>
        <v/>
      </c>
      <c r="BO126" s="18" t="str">
        <f t="shared" si="42"/>
        <v/>
      </c>
      <c r="BP126" s="18" t="str">
        <f t="shared" si="43"/>
        <v/>
      </c>
      <c r="BQ126" s="16"/>
      <c r="BR126" s="16"/>
      <c r="BS126" s="17"/>
    </row>
    <row r="127" spans="1:71" ht="16.05" customHeight="1" x14ac:dyDescent="0.3">
      <c r="A127" s="16"/>
      <c r="B127" s="16"/>
      <c r="C127" s="17"/>
      <c r="D127" s="17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7" t="str">
        <f t="shared" si="33"/>
        <v/>
      </c>
      <c r="V127" s="17" t="str">
        <f t="shared" si="34"/>
        <v/>
      </c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8" t="str">
        <f>IF($A127="","",ROUND(P127*CONFIGURACION!$B$2+IF(W127&lt;&gt;"",X127*IFERROR(VLOOKUP(W127,'DATOS COSTES POLIAMIDAS'!$A:$G,7,0),0),0)+IF(Y127&lt;&gt;"",Z127*IFERROR(VLOOKUP(Y127,'DATOS COSTES POLIAMIDAS'!$A:$G,7,0),0),0)+IF(AA127&lt;&gt;"",AB127*IFERROR(VLOOKUP(AA127,'DATOS COSTES POLIAMIDAS'!$A:$G,7,0),0),0)+IF(AC127&lt;&gt;"",AD127*IFERROR(VLOOKUP(AC127,'DATOS COSTES POLIAMIDAS'!$A:$G,7,0),0),0)+IF(AE127&lt;&gt;"",IFERROR(VLOOKUP(AE127,'DATOS COSTES MECANIZADOS'!$A:$F,6,0),0),0),4))</f>
        <v/>
      </c>
      <c r="AZ127" s="18" t="str">
        <f>IF($A127="","",ROUND(AY127+R127*CONFIGURACION!$B$6,4))</f>
        <v/>
      </c>
      <c r="BA127" s="18" t="str">
        <f>IF($A127="","",ROUND(AY127+R127*CONFIGURACION!$B$7,4))</f>
        <v/>
      </c>
      <c r="BB127" s="18" t="str">
        <f>IF($A127="","",ROUND(AY127+R127*CONFIGURACION!$B$5,4))</f>
        <v/>
      </c>
      <c r="BC127" s="18" t="str">
        <f>IF($A127="","",ROUND(AY127+R127*CONFIGURACION!$B$10+R127*T127*CONFIGURACION!$B$11,4))</f>
        <v/>
      </c>
      <c r="BD127" s="18" t="str">
        <f>IF($A127="","",ROUND(AY127+R127*CONFIGURACION!$B$8,4))</f>
        <v/>
      </c>
      <c r="BE127" s="18" t="str">
        <f>IF($A127="","",ROUND(AY127+R127*CONFIGURACION!$B$9,4))</f>
        <v/>
      </c>
      <c r="BF127" s="18" t="str">
        <f>IF($A127="","",ROUND(AY127+R127*CONFIGURACION!$B$13,4))</f>
        <v/>
      </c>
      <c r="BG127" s="18" t="str">
        <f>IF($A127="","",ROUND(AY127+R127*CONFIGURACION!$B$12,4))</f>
        <v/>
      </c>
      <c r="BH127" s="18" t="str">
        <f t="shared" si="35"/>
        <v/>
      </c>
      <c r="BI127" s="18" t="str">
        <f t="shared" si="36"/>
        <v/>
      </c>
      <c r="BJ127" s="18" t="str">
        <f t="shared" si="37"/>
        <v/>
      </c>
      <c r="BK127" s="18" t="str">
        <f t="shared" si="38"/>
        <v/>
      </c>
      <c r="BL127" s="18" t="str">
        <f t="shared" si="39"/>
        <v/>
      </c>
      <c r="BM127" s="18" t="str">
        <f t="shared" si="40"/>
        <v/>
      </c>
      <c r="BN127" s="18" t="str">
        <f t="shared" si="41"/>
        <v/>
      </c>
      <c r="BO127" s="18" t="str">
        <f t="shared" si="42"/>
        <v/>
      </c>
      <c r="BP127" s="18" t="str">
        <f t="shared" si="43"/>
        <v/>
      </c>
      <c r="BQ127" s="16"/>
      <c r="BR127" s="16"/>
      <c r="BS127" s="17"/>
    </row>
    <row r="128" spans="1:71" ht="16.05" customHeight="1" x14ac:dyDescent="0.3">
      <c r="A128" s="16"/>
      <c r="B128" s="16"/>
      <c r="C128" s="17"/>
      <c r="D128" s="17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7" t="str">
        <f t="shared" si="33"/>
        <v/>
      </c>
      <c r="V128" s="17" t="str">
        <f t="shared" si="34"/>
        <v/>
      </c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8" t="str">
        <f>IF($A128="","",ROUND(P128*CONFIGURACION!$B$2+IF(W128&lt;&gt;"",X128*IFERROR(VLOOKUP(W128,'DATOS COSTES POLIAMIDAS'!$A:$G,7,0),0),0)+IF(Y128&lt;&gt;"",Z128*IFERROR(VLOOKUP(Y128,'DATOS COSTES POLIAMIDAS'!$A:$G,7,0),0),0)+IF(AA128&lt;&gt;"",AB128*IFERROR(VLOOKUP(AA128,'DATOS COSTES POLIAMIDAS'!$A:$G,7,0),0),0)+IF(AC128&lt;&gt;"",AD128*IFERROR(VLOOKUP(AC128,'DATOS COSTES POLIAMIDAS'!$A:$G,7,0),0),0)+IF(AE128&lt;&gt;"",IFERROR(VLOOKUP(AE128,'DATOS COSTES MECANIZADOS'!$A:$F,6,0),0),0),4))</f>
        <v/>
      </c>
      <c r="AZ128" s="18" t="str">
        <f>IF($A128="","",ROUND(AY128+R128*CONFIGURACION!$B$6,4))</f>
        <v/>
      </c>
      <c r="BA128" s="18" t="str">
        <f>IF($A128="","",ROUND(AY128+R128*CONFIGURACION!$B$7,4))</f>
        <v/>
      </c>
      <c r="BB128" s="18" t="str">
        <f>IF($A128="","",ROUND(AY128+R128*CONFIGURACION!$B$5,4))</f>
        <v/>
      </c>
      <c r="BC128" s="18" t="str">
        <f>IF($A128="","",ROUND(AY128+R128*CONFIGURACION!$B$10+R128*T128*CONFIGURACION!$B$11,4))</f>
        <v/>
      </c>
      <c r="BD128" s="18" t="str">
        <f>IF($A128="","",ROUND(AY128+R128*CONFIGURACION!$B$8,4))</f>
        <v/>
      </c>
      <c r="BE128" s="18" t="str">
        <f>IF($A128="","",ROUND(AY128+R128*CONFIGURACION!$B$9,4))</f>
        <v/>
      </c>
      <c r="BF128" s="18" t="str">
        <f>IF($A128="","",ROUND(AY128+R128*CONFIGURACION!$B$13,4))</f>
        <v/>
      </c>
      <c r="BG128" s="18" t="str">
        <f>IF($A128="","",ROUND(AY128+R128*CONFIGURACION!$B$12,4))</f>
        <v/>
      </c>
      <c r="BH128" s="18" t="str">
        <f t="shared" si="35"/>
        <v/>
      </c>
      <c r="BI128" s="18" t="str">
        <f t="shared" si="36"/>
        <v/>
      </c>
      <c r="BJ128" s="18" t="str">
        <f t="shared" si="37"/>
        <v/>
      </c>
      <c r="BK128" s="18" t="str">
        <f t="shared" si="38"/>
        <v/>
      </c>
      <c r="BL128" s="18" t="str">
        <f t="shared" si="39"/>
        <v/>
      </c>
      <c r="BM128" s="18" t="str">
        <f t="shared" si="40"/>
        <v/>
      </c>
      <c r="BN128" s="18" t="str">
        <f t="shared" si="41"/>
        <v/>
      </c>
      <c r="BO128" s="18" t="str">
        <f t="shared" si="42"/>
        <v/>
      </c>
      <c r="BP128" s="18" t="str">
        <f t="shared" si="43"/>
        <v/>
      </c>
      <c r="BQ128" s="16"/>
      <c r="BR128" s="16"/>
      <c r="BS128" s="17"/>
    </row>
    <row r="129" spans="1:71" ht="16.05" customHeight="1" x14ac:dyDescent="0.3">
      <c r="A129" s="16"/>
      <c r="B129" s="16"/>
      <c r="C129" s="17"/>
      <c r="D129" s="17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7" t="str">
        <f t="shared" si="33"/>
        <v/>
      </c>
      <c r="V129" s="17" t="str">
        <f t="shared" si="34"/>
        <v/>
      </c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8" t="str">
        <f>IF($A129="","",ROUND(P129*CONFIGURACION!$B$2+IF(W129&lt;&gt;"",X129*IFERROR(VLOOKUP(W129,'DATOS COSTES POLIAMIDAS'!$A:$G,7,0),0),0)+IF(Y129&lt;&gt;"",Z129*IFERROR(VLOOKUP(Y129,'DATOS COSTES POLIAMIDAS'!$A:$G,7,0),0),0)+IF(AA129&lt;&gt;"",AB129*IFERROR(VLOOKUP(AA129,'DATOS COSTES POLIAMIDAS'!$A:$G,7,0),0),0)+IF(AC129&lt;&gt;"",AD129*IFERROR(VLOOKUP(AC129,'DATOS COSTES POLIAMIDAS'!$A:$G,7,0),0),0)+IF(AE129&lt;&gt;"",IFERROR(VLOOKUP(AE129,'DATOS COSTES MECANIZADOS'!$A:$F,6,0),0),0),4))</f>
        <v/>
      </c>
      <c r="AZ129" s="18" t="str">
        <f>IF($A129="","",ROUND(AY129+R129*CONFIGURACION!$B$6,4))</f>
        <v/>
      </c>
      <c r="BA129" s="18" t="str">
        <f>IF($A129="","",ROUND(AY129+R129*CONFIGURACION!$B$7,4))</f>
        <v/>
      </c>
      <c r="BB129" s="18" t="str">
        <f>IF($A129="","",ROUND(AY129+R129*CONFIGURACION!$B$5,4))</f>
        <v/>
      </c>
      <c r="BC129" s="18" t="str">
        <f>IF($A129="","",ROUND(AY129+R129*CONFIGURACION!$B$10+R129*T129*CONFIGURACION!$B$11,4))</f>
        <v/>
      </c>
      <c r="BD129" s="18" t="str">
        <f>IF($A129="","",ROUND(AY129+R129*CONFIGURACION!$B$8,4))</f>
        <v/>
      </c>
      <c r="BE129" s="18" t="str">
        <f>IF($A129="","",ROUND(AY129+R129*CONFIGURACION!$B$9,4))</f>
        <v/>
      </c>
      <c r="BF129" s="18" t="str">
        <f>IF($A129="","",ROUND(AY129+R129*CONFIGURACION!$B$13,4))</f>
        <v/>
      </c>
      <c r="BG129" s="18" t="str">
        <f>IF($A129="","",ROUND(AY129+R129*CONFIGURACION!$B$12,4))</f>
        <v/>
      </c>
      <c r="BH129" s="18" t="str">
        <f t="shared" si="35"/>
        <v/>
      </c>
      <c r="BI129" s="18" t="str">
        <f t="shared" si="36"/>
        <v/>
      </c>
      <c r="BJ129" s="18" t="str">
        <f t="shared" si="37"/>
        <v/>
      </c>
      <c r="BK129" s="18" t="str">
        <f t="shared" si="38"/>
        <v/>
      </c>
      <c r="BL129" s="18" t="str">
        <f t="shared" si="39"/>
        <v/>
      </c>
      <c r="BM129" s="18" t="str">
        <f t="shared" si="40"/>
        <v/>
      </c>
      <c r="BN129" s="18" t="str">
        <f t="shared" si="41"/>
        <v/>
      </c>
      <c r="BO129" s="18" t="str">
        <f t="shared" si="42"/>
        <v/>
      </c>
      <c r="BP129" s="18" t="str">
        <f t="shared" si="43"/>
        <v/>
      </c>
      <c r="BQ129" s="16"/>
      <c r="BR129" s="16"/>
      <c r="BS129" s="17"/>
    </row>
    <row r="130" spans="1:71" ht="16.05" customHeight="1" x14ac:dyDescent="0.3">
      <c r="A130" s="16"/>
      <c r="B130" s="16"/>
      <c r="C130" s="17"/>
      <c r="D130" s="17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7" t="str">
        <f t="shared" si="33"/>
        <v/>
      </c>
      <c r="V130" s="17" t="str">
        <f t="shared" si="34"/>
        <v/>
      </c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8" t="str">
        <f>IF($A130="","",ROUND(P130*CONFIGURACION!$B$2+IF(W130&lt;&gt;"",X130*IFERROR(VLOOKUP(W130,'DATOS COSTES POLIAMIDAS'!$A:$G,7,0),0),0)+IF(Y130&lt;&gt;"",Z130*IFERROR(VLOOKUP(Y130,'DATOS COSTES POLIAMIDAS'!$A:$G,7,0),0),0)+IF(AA130&lt;&gt;"",AB130*IFERROR(VLOOKUP(AA130,'DATOS COSTES POLIAMIDAS'!$A:$G,7,0),0),0)+IF(AC130&lt;&gt;"",AD130*IFERROR(VLOOKUP(AC130,'DATOS COSTES POLIAMIDAS'!$A:$G,7,0),0),0)+IF(AE130&lt;&gt;"",IFERROR(VLOOKUP(AE130,'DATOS COSTES MECANIZADOS'!$A:$F,6,0),0),0),4))</f>
        <v/>
      </c>
      <c r="AZ130" s="18" t="str">
        <f>IF($A130="","",ROUND(AY130+R130*CONFIGURACION!$B$6,4))</f>
        <v/>
      </c>
      <c r="BA130" s="18" t="str">
        <f>IF($A130="","",ROUND(AY130+R130*CONFIGURACION!$B$7,4))</f>
        <v/>
      </c>
      <c r="BB130" s="18" t="str">
        <f>IF($A130="","",ROUND(AY130+R130*CONFIGURACION!$B$5,4))</f>
        <v/>
      </c>
      <c r="BC130" s="18" t="str">
        <f>IF($A130="","",ROUND(AY130+R130*CONFIGURACION!$B$10+R130*T130*CONFIGURACION!$B$11,4))</f>
        <v/>
      </c>
      <c r="BD130" s="18" t="str">
        <f>IF($A130="","",ROUND(AY130+R130*CONFIGURACION!$B$8,4))</f>
        <v/>
      </c>
      <c r="BE130" s="18" t="str">
        <f>IF($A130="","",ROUND(AY130+R130*CONFIGURACION!$B$9,4))</f>
        <v/>
      </c>
      <c r="BF130" s="18" t="str">
        <f>IF($A130="","",ROUND(AY130+R130*CONFIGURACION!$B$13,4))</f>
        <v/>
      </c>
      <c r="BG130" s="18" t="str">
        <f>IF($A130="","",ROUND(AY130+R130*CONFIGURACION!$B$12,4))</f>
        <v/>
      </c>
      <c r="BH130" s="18" t="str">
        <f t="shared" si="35"/>
        <v/>
      </c>
      <c r="BI130" s="18" t="str">
        <f t="shared" si="36"/>
        <v/>
      </c>
      <c r="BJ130" s="18" t="str">
        <f t="shared" si="37"/>
        <v/>
      </c>
      <c r="BK130" s="18" t="str">
        <f t="shared" si="38"/>
        <v/>
      </c>
      <c r="BL130" s="18" t="str">
        <f t="shared" si="39"/>
        <v/>
      </c>
      <c r="BM130" s="18" t="str">
        <f t="shared" si="40"/>
        <v/>
      </c>
      <c r="BN130" s="18" t="str">
        <f t="shared" si="41"/>
        <v/>
      </c>
      <c r="BO130" s="18" t="str">
        <f t="shared" si="42"/>
        <v/>
      </c>
      <c r="BP130" s="18" t="str">
        <f t="shared" si="43"/>
        <v/>
      </c>
      <c r="BQ130" s="16"/>
      <c r="BR130" s="16"/>
      <c r="BS130" s="17"/>
    </row>
    <row r="131" spans="1:71" ht="16.05" customHeight="1" x14ac:dyDescent="0.3">
      <c r="A131" s="16"/>
      <c r="B131" s="16"/>
      <c r="C131" s="17"/>
      <c r="D131" s="17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7" t="str">
        <f t="shared" ref="U131:U162" si="44">IF($A131="","","X:\IMAGENES GEINPROD\"&amp;$A131&amp;".JPG")</f>
        <v/>
      </c>
      <c r="V131" s="17" t="str">
        <f t="shared" ref="V131:V162" si="45">IF($A131="","","X:\IMAGENES GEINPROD\PLANO ORIGINAL THERMIA\"&amp;$A131&amp;".pdf")</f>
        <v/>
      </c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8" t="str">
        <f>IF($A131="","",ROUND(P131*CONFIGURACION!$B$2+IF(W131&lt;&gt;"",X131*IFERROR(VLOOKUP(W131,'DATOS COSTES POLIAMIDAS'!$A:$G,7,0),0),0)+IF(Y131&lt;&gt;"",Z131*IFERROR(VLOOKUP(Y131,'DATOS COSTES POLIAMIDAS'!$A:$G,7,0),0),0)+IF(AA131&lt;&gt;"",AB131*IFERROR(VLOOKUP(AA131,'DATOS COSTES POLIAMIDAS'!$A:$G,7,0),0),0)+IF(AC131&lt;&gt;"",AD131*IFERROR(VLOOKUP(AC131,'DATOS COSTES POLIAMIDAS'!$A:$G,7,0),0),0)+IF(AE131&lt;&gt;"",IFERROR(VLOOKUP(AE131,'DATOS COSTES MECANIZADOS'!$A:$F,6,0),0),0),4))</f>
        <v/>
      </c>
      <c r="AZ131" s="18" t="str">
        <f>IF($A131="","",ROUND(AY131+R131*CONFIGURACION!$B$6,4))</f>
        <v/>
      </c>
      <c r="BA131" s="18" t="str">
        <f>IF($A131="","",ROUND(AY131+R131*CONFIGURACION!$B$7,4))</f>
        <v/>
      </c>
      <c r="BB131" s="18" t="str">
        <f>IF($A131="","",ROUND(AY131+R131*CONFIGURACION!$B$5,4))</f>
        <v/>
      </c>
      <c r="BC131" s="18" t="str">
        <f>IF($A131="","",ROUND(AY131+R131*CONFIGURACION!$B$10+R131*T131*CONFIGURACION!$B$11,4))</f>
        <v/>
      </c>
      <c r="BD131" s="18" t="str">
        <f>IF($A131="","",ROUND(AY131+R131*CONFIGURACION!$B$8,4))</f>
        <v/>
      </c>
      <c r="BE131" s="18" t="str">
        <f>IF($A131="","",ROUND(AY131+R131*CONFIGURACION!$B$9,4))</f>
        <v/>
      </c>
      <c r="BF131" s="18" t="str">
        <f>IF($A131="","",ROUND(AY131+R131*CONFIGURACION!$B$13,4))</f>
        <v/>
      </c>
      <c r="BG131" s="18" t="str">
        <f>IF($A131="","",ROUND(AY131+R131*CONFIGURACION!$B$12,4))</f>
        <v/>
      </c>
      <c r="BH131" s="18" t="str">
        <f t="shared" ref="BH131:BH162" si="46">IF($A131="","",IF(AP131="","",ROUND(AY131/AP131,4)))</f>
        <v/>
      </c>
      <c r="BI131" s="18" t="str">
        <f t="shared" ref="BI131:BI162" si="47">IF($A131="","",IF(AQ131="","",ROUND(AZ131/AQ131,4)))</f>
        <v/>
      </c>
      <c r="BJ131" s="18" t="str">
        <f t="shared" ref="BJ131:BJ162" si="48">IF($A131="","",IF(AR131="","",ROUND(BA131/AR131,4)))</f>
        <v/>
      </c>
      <c r="BK131" s="18" t="str">
        <f t="shared" ref="BK131:BK162" si="49">IF($A131="","",IF(AS131="","",ROUND(BB131/AS131,4)))</f>
        <v/>
      </c>
      <c r="BL131" s="18" t="str">
        <f t="shared" ref="BL131:BL162" si="50">IF($A131="","",IF(AT131="","",ROUND(BC131/AT131,4)))</f>
        <v/>
      </c>
      <c r="BM131" s="18" t="str">
        <f t="shared" ref="BM131:BM162" si="51">IF($A131="","",IF(AU131="","",ROUND(BD131/AU131,4)))</f>
        <v/>
      </c>
      <c r="BN131" s="18" t="str">
        <f t="shared" ref="BN131:BN162" si="52">IF($A131="","",IF(AV131="","",ROUND(BE131/AV131,4)))</f>
        <v/>
      </c>
      <c r="BO131" s="18" t="str">
        <f t="shared" ref="BO131:BO162" si="53">IF($A131="","",IF(AW131="","",ROUND(BF131/AW131,4)))</f>
        <v/>
      </c>
      <c r="BP131" s="18" t="str">
        <f t="shared" ref="BP131:BP162" si="54">IF($A131="","",IF(AX131="","",ROUND(BG131/AX131,4)))</f>
        <v/>
      </c>
      <c r="BQ131" s="16"/>
      <c r="BR131" s="16"/>
      <c r="BS131" s="17"/>
    </row>
    <row r="132" spans="1:71" ht="16.05" customHeight="1" x14ac:dyDescent="0.3">
      <c r="A132" s="16"/>
      <c r="B132" s="16"/>
      <c r="C132" s="17"/>
      <c r="D132" s="17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7" t="str">
        <f t="shared" si="44"/>
        <v/>
      </c>
      <c r="V132" s="17" t="str">
        <f t="shared" si="45"/>
        <v/>
      </c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8" t="str">
        <f>IF($A132="","",ROUND(P132*CONFIGURACION!$B$2+IF(W132&lt;&gt;"",X132*IFERROR(VLOOKUP(W132,'DATOS COSTES POLIAMIDAS'!$A:$G,7,0),0),0)+IF(Y132&lt;&gt;"",Z132*IFERROR(VLOOKUP(Y132,'DATOS COSTES POLIAMIDAS'!$A:$G,7,0),0),0)+IF(AA132&lt;&gt;"",AB132*IFERROR(VLOOKUP(AA132,'DATOS COSTES POLIAMIDAS'!$A:$G,7,0),0),0)+IF(AC132&lt;&gt;"",AD132*IFERROR(VLOOKUP(AC132,'DATOS COSTES POLIAMIDAS'!$A:$G,7,0),0),0)+IF(AE132&lt;&gt;"",IFERROR(VLOOKUP(AE132,'DATOS COSTES MECANIZADOS'!$A:$F,6,0),0),0),4))</f>
        <v/>
      </c>
      <c r="AZ132" s="18" t="str">
        <f>IF($A132="","",ROUND(AY132+R132*CONFIGURACION!$B$6,4))</f>
        <v/>
      </c>
      <c r="BA132" s="18" t="str">
        <f>IF($A132="","",ROUND(AY132+R132*CONFIGURACION!$B$7,4))</f>
        <v/>
      </c>
      <c r="BB132" s="18" t="str">
        <f>IF($A132="","",ROUND(AY132+R132*CONFIGURACION!$B$5,4))</f>
        <v/>
      </c>
      <c r="BC132" s="18" t="str">
        <f>IF($A132="","",ROUND(AY132+R132*CONFIGURACION!$B$10+R132*T132*CONFIGURACION!$B$11,4))</f>
        <v/>
      </c>
      <c r="BD132" s="18" t="str">
        <f>IF($A132="","",ROUND(AY132+R132*CONFIGURACION!$B$8,4))</f>
        <v/>
      </c>
      <c r="BE132" s="18" t="str">
        <f>IF($A132="","",ROUND(AY132+R132*CONFIGURACION!$B$9,4))</f>
        <v/>
      </c>
      <c r="BF132" s="18" t="str">
        <f>IF($A132="","",ROUND(AY132+R132*CONFIGURACION!$B$13,4))</f>
        <v/>
      </c>
      <c r="BG132" s="18" t="str">
        <f>IF($A132="","",ROUND(AY132+R132*CONFIGURACION!$B$12,4))</f>
        <v/>
      </c>
      <c r="BH132" s="18" t="str">
        <f t="shared" si="46"/>
        <v/>
      </c>
      <c r="BI132" s="18" t="str">
        <f t="shared" si="47"/>
        <v/>
      </c>
      <c r="BJ132" s="18" t="str">
        <f t="shared" si="48"/>
        <v/>
      </c>
      <c r="BK132" s="18" t="str">
        <f t="shared" si="49"/>
        <v/>
      </c>
      <c r="BL132" s="18" t="str">
        <f t="shared" si="50"/>
        <v/>
      </c>
      <c r="BM132" s="18" t="str">
        <f t="shared" si="51"/>
        <v/>
      </c>
      <c r="BN132" s="18" t="str">
        <f t="shared" si="52"/>
        <v/>
      </c>
      <c r="BO132" s="18" t="str">
        <f t="shared" si="53"/>
        <v/>
      </c>
      <c r="BP132" s="18" t="str">
        <f t="shared" si="54"/>
        <v/>
      </c>
      <c r="BQ132" s="16"/>
      <c r="BR132" s="16"/>
      <c r="BS132" s="17"/>
    </row>
    <row r="133" spans="1:71" ht="16.05" customHeight="1" x14ac:dyDescent="0.3">
      <c r="A133" s="16"/>
      <c r="B133" s="16"/>
      <c r="C133" s="17"/>
      <c r="D133" s="17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7" t="str">
        <f t="shared" si="44"/>
        <v/>
      </c>
      <c r="V133" s="17" t="str">
        <f t="shared" si="45"/>
        <v/>
      </c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8" t="str">
        <f>IF($A133="","",ROUND(P133*CONFIGURACION!$B$2+IF(W133&lt;&gt;"",X133*IFERROR(VLOOKUP(W133,'DATOS COSTES POLIAMIDAS'!$A:$G,7,0),0),0)+IF(Y133&lt;&gt;"",Z133*IFERROR(VLOOKUP(Y133,'DATOS COSTES POLIAMIDAS'!$A:$G,7,0),0),0)+IF(AA133&lt;&gt;"",AB133*IFERROR(VLOOKUP(AA133,'DATOS COSTES POLIAMIDAS'!$A:$G,7,0),0),0)+IF(AC133&lt;&gt;"",AD133*IFERROR(VLOOKUP(AC133,'DATOS COSTES POLIAMIDAS'!$A:$G,7,0),0),0)+IF(AE133&lt;&gt;"",IFERROR(VLOOKUP(AE133,'DATOS COSTES MECANIZADOS'!$A:$F,6,0),0),0),4))</f>
        <v/>
      </c>
      <c r="AZ133" s="18" t="str">
        <f>IF($A133="","",ROUND(AY133+R133*CONFIGURACION!$B$6,4))</f>
        <v/>
      </c>
      <c r="BA133" s="18" t="str">
        <f>IF($A133="","",ROUND(AY133+R133*CONFIGURACION!$B$7,4))</f>
        <v/>
      </c>
      <c r="BB133" s="18" t="str">
        <f>IF($A133="","",ROUND(AY133+R133*CONFIGURACION!$B$5,4))</f>
        <v/>
      </c>
      <c r="BC133" s="18" t="str">
        <f>IF($A133="","",ROUND(AY133+R133*CONFIGURACION!$B$10+R133*T133*CONFIGURACION!$B$11,4))</f>
        <v/>
      </c>
      <c r="BD133" s="18" t="str">
        <f>IF($A133="","",ROUND(AY133+R133*CONFIGURACION!$B$8,4))</f>
        <v/>
      </c>
      <c r="BE133" s="18" t="str">
        <f>IF($A133="","",ROUND(AY133+R133*CONFIGURACION!$B$9,4))</f>
        <v/>
      </c>
      <c r="BF133" s="18" t="str">
        <f>IF($A133="","",ROUND(AY133+R133*CONFIGURACION!$B$13,4))</f>
        <v/>
      </c>
      <c r="BG133" s="18" t="str">
        <f>IF($A133="","",ROUND(AY133+R133*CONFIGURACION!$B$12,4))</f>
        <v/>
      </c>
      <c r="BH133" s="18" t="str">
        <f t="shared" si="46"/>
        <v/>
      </c>
      <c r="BI133" s="18" t="str">
        <f t="shared" si="47"/>
        <v/>
      </c>
      <c r="BJ133" s="18" t="str">
        <f t="shared" si="48"/>
        <v/>
      </c>
      <c r="BK133" s="18" t="str">
        <f t="shared" si="49"/>
        <v/>
      </c>
      <c r="BL133" s="18" t="str">
        <f t="shared" si="50"/>
        <v/>
      </c>
      <c r="BM133" s="18" t="str">
        <f t="shared" si="51"/>
        <v/>
      </c>
      <c r="BN133" s="18" t="str">
        <f t="shared" si="52"/>
        <v/>
      </c>
      <c r="BO133" s="18" t="str">
        <f t="shared" si="53"/>
        <v/>
      </c>
      <c r="BP133" s="18" t="str">
        <f t="shared" si="54"/>
        <v/>
      </c>
      <c r="BQ133" s="16"/>
      <c r="BR133" s="16"/>
      <c r="BS133" s="17"/>
    </row>
    <row r="134" spans="1:71" ht="16.05" customHeight="1" x14ac:dyDescent="0.3">
      <c r="A134" s="16"/>
      <c r="B134" s="16"/>
      <c r="C134" s="17"/>
      <c r="D134" s="17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7" t="str">
        <f t="shared" si="44"/>
        <v/>
      </c>
      <c r="V134" s="17" t="str">
        <f t="shared" si="45"/>
        <v/>
      </c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8" t="str">
        <f>IF($A134="","",ROUND(P134*CONFIGURACION!$B$2+IF(W134&lt;&gt;"",X134*IFERROR(VLOOKUP(W134,'DATOS COSTES POLIAMIDAS'!$A:$G,7,0),0),0)+IF(Y134&lt;&gt;"",Z134*IFERROR(VLOOKUP(Y134,'DATOS COSTES POLIAMIDAS'!$A:$G,7,0),0),0)+IF(AA134&lt;&gt;"",AB134*IFERROR(VLOOKUP(AA134,'DATOS COSTES POLIAMIDAS'!$A:$G,7,0),0),0)+IF(AC134&lt;&gt;"",AD134*IFERROR(VLOOKUP(AC134,'DATOS COSTES POLIAMIDAS'!$A:$G,7,0),0),0)+IF(AE134&lt;&gt;"",IFERROR(VLOOKUP(AE134,'DATOS COSTES MECANIZADOS'!$A:$F,6,0),0),0),4))</f>
        <v/>
      </c>
      <c r="AZ134" s="18" t="str">
        <f>IF($A134="","",ROUND(AY134+R134*CONFIGURACION!$B$6,4))</f>
        <v/>
      </c>
      <c r="BA134" s="18" t="str">
        <f>IF($A134="","",ROUND(AY134+R134*CONFIGURACION!$B$7,4))</f>
        <v/>
      </c>
      <c r="BB134" s="18" t="str">
        <f>IF($A134="","",ROUND(AY134+R134*CONFIGURACION!$B$5,4))</f>
        <v/>
      </c>
      <c r="BC134" s="18" t="str">
        <f>IF($A134="","",ROUND(AY134+R134*CONFIGURACION!$B$10+R134*T134*CONFIGURACION!$B$11,4))</f>
        <v/>
      </c>
      <c r="BD134" s="18" t="str">
        <f>IF($A134="","",ROUND(AY134+R134*CONFIGURACION!$B$8,4))</f>
        <v/>
      </c>
      <c r="BE134" s="18" t="str">
        <f>IF($A134="","",ROUND(AY134+R134*CONFIGURACION!$B$9,4))</f>
        <v/>
      </c>
      <c r="BF134" s="18" t="str">
        <f>IF($A134="","",ROUND(AY134+R134*CONFIGURACION!$B$13,4))</f>
        <v/>
      </c>
      <c r="BG134" s="18" t="str">
        <f>IF($A134="","",ROUND(AY134+R134*CONFIGURACION!$B$12,4))</f>
        <v/>
      </c>
      <c r="BH134" s="18" t="str">
        <f t="shared" si="46"/>
        <v/>
      </c>
      <c r="BI134" s="18" t="str">
        <f t="shared" si="47"/>
        <v/>
      </c>
      <c r="BJ134" s="18" t="str">
        <f t="shared" si="48"/>
        <v/>
      </c>
      <c r="BK134" s="18" t="str">
        <f t="shared" si="49"/>
        <v/>
      </c>
      <c r="BL134" s="18" t="str">
        <f t="shared" si="50"/>
        <v/>
      </c>
      <c r="BM134" s="18" t="str">
        <f t="shared" si="51"/>
        <v/>
      </c>
      <c r="BN134" s="18" t="str">
        <f t="shared" si="52"/>
        <v/>
      </c>
      <c r="BO134" s="18" t="str">
        <f t="shared" si="53"/>
        <v/>
      </c>
      <c r="BP134" s="18" t="str">
        <f t="shared" si="54"/>
        <v/>
      </c>
      <c r="BQ134" s="16"/>
      <c r="BR134" s="16"/>
      <c r="BS134" s="17"/>
    </row>
    <row r="135" spans="1:71" ht="16.05" customHeight="1" x14ac:dyDescent="0.3">
      <c r="A135" s="16"/>
      <c r="B135" s="16"/>
      <c r="C135" s="17"/>
      <c r="D135" s="17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7" t="str">
        <f t="shared" si="44"/>
        <v/>
      </c>
      <c r="V135" s="17" t="str">
        <f t="shared" si="45"/>
        <v/>
      </c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8" t="str">
        <f>IF($A135="","",ROUND(P135*CONFIGURACION!$B$2+IF(W135&lt;&gt;"",X135*IFERROR(VLOOKUP(W135,'DATOS COSTES POLIAMIDAS'!$A:$G,7,0),0),0)+IF(Y135&lt;&gt;"",Z135*IFERROR(VLOOKUP(Y135,'DATOS COSTES POLIAMIDAS'!$A:$G,7,0),0),0)+IF(AA135&lt;&gt;"",AB135*IFERROR(VLOOKUP(AA135,'DATOS COSTES POLIAMIDAS'!$A:$G,7,0),0),0)+IF(AC135&lt;&gt;"",AD135*IFERROR(VLOOKUP(AC135,'DATOS COSTES POLIAMIDAS'!$A:$G,7,0),0),0)+IF(AE135&lt;&gt;"",IFERROR(VLOOKUP(AE135,'DATOS COSTES MECANIZADOS'!$A:$F,6,0),0),0),4))</f>
        <v/>
      </c>
      <c r="AZ135" s="18" t="str">
        <f>IF($A135="","",ROUND(AY135+R135*CONFIGURACION!$B$6,4))</f>
        <v/>
      </c>
      <c r="BA135" s="18" t="str">
        <f>IF($A135="","",ROUND(AY135+R135*CONFIGURACION!$B$7,4))</f>
        <v/>
      </c>
      <c r="BB135" s="18" t="str">
        <f>IF($A135="","",ROUND(AY135+R135*CONFIGURACION!$B$5,4))</f>
        <v/>
      </c>
      <c r="BC135" s="18" t="str">
        <f>IF($A135="","",ROUND(AY135+R135*CONFIGURACION!$B$10+R135*T135*CONFIGURACION!$B$11,4))</f>
        <v/>
      </c>
      <c r="BD135" s="18" t="str">
        <f>IF($A135="","",ROUND(AY135+R135*CONFIGURACION!$B$8,4))</f>
        <v/>
      </c>
      <c r="BE135" s="18" t="str">
        <f>IF($A135="","",ROUND(AY135+R135*CONFIGURACION!$B$9,4))</f>
        <v/>
      </c>
      <c r="BF135" s="18" t="str">
        <f>IF($A135="","",ROUND(AY135+R135*CONFIGURACION!$B$13,4))</f>
        <v/>
      </c>
      <c r="BG135" s="18" t="str">
        <f>IF($A135="","",ROUND(AY135+R135*CONFIGURACION!$B$12,4))</f>
        <v/>
      </c>
      <c r="BH135" s="18" t="str">
        <f t="shared" si="46"/>
        <v/>
      </c>
      <c r="BI135" s="18" t="str">
        <f t="shared" si="47"/>
        <v/>
      </c>
      <c r="BJ135" s="18" t="str">
        <f t="shared" si="48"/>
        <v/>
      </c>
      <c r="BK135" s="18" t="str">
        <f t="shared" si="49"/>
        <v/>
      </c>
      <c r="BL135" s="18" t="str">
        <f t="shared" si="50"/>
        <v/>
      </c>
      <c r="BM135" s="18" t="str">
        <f t="shared" si="51"/>
        <v/>
      </c>
      <c r="BN135" s="18" t="str">
        <f t="shared" si="52"/>
        <v/>
      </c>
      <c r="BO135" s="18" t="str">
        <f t="shared" si="53"/>
        <v/>
      </c>
      <c r="BP135" s="18" t="str">
        <f t="shared" si="54"/>
        <v/>
      </c>
      <c r="BQ135" s="16"/>
      <c r="BR135" s="16"/>
      <c r="BS135" s="17"/>
    </row>
    <row r="136" spans="1:71" ht="16.05" customHeight="1" x14ac:dyDescent="0.3">
      <c r="A136" s="16"/>
      <c r="B136" s="16"/>
      <c r="C136" s="17"/>
      <c r="D136" s="17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7" t="str">
        <f t="shared" si="44"/>
        <v/>
      </c>
      <c r="V136" s="17" t="str">
        <f t="shared" si="45"/>
        <v/>
      </c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8" t="str">
        <f>IF($A136="","",ROUND(P136*CONFIGURACION!$B$2+IF(W136&lt;&gt;"",X136*IFERROR(VLOOKUP(W136,'DATOS COSTES POLIAMIDAS'!$A:$G,7,0),0),0)+IF(Y136&lt;&gt;"",Z136*IFERROR(VLOOKUP(Y136,'DATOS COSTES POLIAMIDAS'!$A:$G,7,0),0),0)+IF(AA136&lt;&gt;"",AB136*IFERROR(VLOOKUP(AA136,'DATOS COSTES POLIAMIDAS'!$A:$G,7,0),0),0)+IF(AC136&lt;&gt;"",AD136*IFERROR(VLOOKUP(AC136,'DATOS COSTES POLIAMIDAS'!$A:$G,7,0),0),0)+IF(AE136&lt;&gt;"",IFERROR(VLOOKUP(AE136,'DATOS COSTES MECANIZADOS'!$A:$F,6,0),0),0),4))</f>
        <v/>
      </c>
      <c r="AZ136" s="18" t="str">
        <f>IF($A136="","",ROUND(AY136+R136*CONFIGURACION!$B$6,4))</f>
        <v/>
      </c>
      <c r="BA136" s="18" t="str">
        <f>IF($A136="","",ROUND(AY136+R136*CONFIGURACION!$B$7,4))</f>
        <v/>
      </c>
      <c r="BB136" s="18" t="str">
        <f>IF($A136="","",ROUND(AY136+R136*CONFIGURACION!$B$5,4))</f>
        <v/>
      </c>
      <c r="BC136" s="18" t="str">
        <f>IF($A136="","",ROUND(AY136+R136*CONFIGURACION!$B$10+R136*T136*CONFIGURACION!$B$11,4))</f>
        <v/>
      </c>
      <c r="BD136" s="18" t="str">
        <f>IF($A136="","",ROUND(AY136+R136*CONFIGURACION!$B$8,4))</f>
        <v/>
      </c>
      <c r="BE136" s="18" t="str">
        <f>IF($A136="","",ROUND(AY136+R136*CONFIGURACION!$B$9,4))</f>
        <v/>
      </c>
      <c r="BF136" s="18" t="str">
        <f>IF($A136="","",ROUND(AY136+R136*CONFIGURACION!$B$13,4))</f>
        <v/>
      </c>
      <c r="BG136" s="18" t="str">
        <f>IF($A136="","",ROUND(AY136+R136*CONFIGURACION!$B$12,4))</f>
        <v/>
      </c>
      <c r="BH136" s="18" t="str">
        <f t="shared" si="46"/>
        <v/>
      </c>
      <c r="BI136" s="18" t="str">
        <f t="shared" si="47"/>
        <v/>
      </c>
      <c r="BJ136" s="18" t="str">
        <f t="shared" si="48"/>
        <v/>
      </c>
      <c r="BK136" s="18" t="str">
        <f t="shared" si="49"/>
        <v/>
      </c>
      <c r="BL136" s="18" t="str">
        <f t="shared" si="50"/>
        <v/>
      </c>
      <c r="BM136" s="18" t="str">
        <f t="shared" si="51"/>
        <v/>
      </c>
      <c r="BN136" s="18" t="str">
        <f t="shared" si="52"/>
        <v/>
      </c>
      <c r="BO136" s="18" t="str">
        <f t="shared" si="53"/>
        <v/>
      </c>
      <c r="BP136" s="18" t="str">
        <f t="shared" si="54"/>
        <v/>
      </c>
      <c r="BQ136" s="16"/>
      <c r="BR136" s="16"/>
      <c r="BS136" s="17"/>
    </row>
    <row r="137" spans="1:71" ht="16.05" customHeight="1" x14ac:dyDescent="0.3">
      <c r="A137" s="16"/>
      <c r="B137" s="16"/>
      <c r="C137" s="17"/>
      <c r="D137" s="17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7" t="str">
        <f t="shared" si="44"/>
        <v/>
      </c>
      <c r="V137" s="17" t="str">
        <f t="shared" si="45"/>
        <v/>
      </c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8" t="str">
        <f>IF($A137="","",ROUND(P137*CONFIGURACION!$B$2+IF(W137&lt;&gt;"",X137*IFERROR(VLOOKUP(W137,'DATOS COSTES POLIAMIDAS'!$A:$G,7,0),0),0)+IF(Y137&lt;&gt;"",Z137*IFERROR(VLOOKUP(Y137,'DATOS COSTES POLIAMIDAS'!$A:$G,7,0),0),0)+IF(AA137&lt;&gt;"",AB137*IFERROR(VLOOKUP(AA137,'DATOS COSTES POLIAMIDAS'!$A:$G,7,0),0),0)+IF(AC137&lt;&gt;"",AD137*IFERROR(VLOOKUP(AC137,'DATOS COSTES POLIAMIDAS'!$A:$G,7,0),0),0)+IF(AE137&lt;&gt;"",IFERROR(VLOOKUP(AE137,'DATOS COSTES MECANIZADOS'!$A:$F,6,0),0),0),4))</f>
        <v/>
      </c>
      <c r="AZ137" s="18" t="str">
        <f>IF($A137="","",ROUND(AY137+R137*CONFIGURACION!$B$6,4))</f>
        <v/>
      </c>
      <c r="BA137" s="18" t="str">
        <f>IF($A137="","",ROUND(AY137+R137*CONFIGURACION!$B$7,4))</f>
        <v/>
      </c>
      <c r="BB137" s="18" t="str">
        <f>IF($A137="","",ROUND(AY137+R137*CONFIGURACION!$B$5,4))</f>
        <v/>
      </c>
      <c r="BC137" s="18" t="str">
        <f>IF($A137="","",ROUND(AY137+R137*CONFIGURACION!$B$10+R137*T137*CONFIGURACION!$B$11,4))</f>
        <v/>
      </c>
      <c r="BD137" s="18" t="str">
        <f>IF($A137="","",ROUND(AY137+R137*CONFIGURACION!$B$8,4))</f>
        <v/>
      </c>
      <c r="BE137" s="18" t="str">
        <f>IF($A137="","",ROUND(AY137+R137*CONFIGURACION!$B$9,4))</f>
        <v/>
      </c>
      <c r="BF137" s="18" t="str">
        <f>IF($A137="","",ROUND(AY137+R137*CONFIGURACION!$B$13,4))</f>
        <v/>
      </c>
      <c r="BG137" s="18" t="str">
        <f>IF($A137="","",ROUND(AY137+R137*CONFIGURACION!$B$12,4))</f>
        <v/>
      </c>
      <c r="BH137" s="18" t="str">
        <f t="shared" si="46"/>
        <v/>
      </c>
      <c r="BI137" s="18" t="str">
        <f t="shared" si="47"/>
        <v/>
      </c>
      <c r="BJ137" s="18" t="str">
        <f t="shared" si="48"/>
        <v/>
      </c>
      <c r="BK137" s="18" t="str">
        <f t="shared" si="49"/>
        <v/>
      </c>
      <c r="BL137" s="18" t="str">
        <f t="shared" si="50"/>
        <v/>
      </c>
      <c r="BM137" s="18" t="str">
        <f t="shared" si="51"/>
        <v/>
      </c>
      <c r="BN137" s="18" t="str">
        <f t="shared" si="52"/>
        <v/>
      </c>
      <c r="BO137" s="18" t="str">
        <f t="shared" si="53"/>
        <v/>
      </c>
      <c r="BP137" s="18" t="str">
        <f t="shared" si="54"/>
        <v/>
      </c>
      <c r="BQ137" s="16"/>
      <c r="BR137" s="16"/>
      <c r="BS137" s="17"/>
    </row>
    <row r="138" spans="1:71" ht="16.05" customHeight="1" x14ac:dyDescent="0.3">
      <c r="A138" s="16"/>
      <c r="B138" s="16"/>
      <c r="C138" s="17"/>
      <c r="D138" s="17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7" t="str">
        <f t="shared" si="44"/>
        <v/>
      </c>
      <c r="V138" s="17" t="str">
        <f t="shared" si="45"/>
        <v/>
      </c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8" t="str">
        <f>IF($A138="","",ROUND(P138*CONFIGURACION!$B$2+IF(W138&lt;&gt;"",X138*IFERROR(VLOOKUP(W138,'DATOS COSTES POLIAMIDAS'!$A:$G,7,0),0),0)+IF(Y138&lt;&gt;"",Z138*IFERROR(VLOOKUP(Y138,'DATOS COSTES POLIAMIDAS'!$A:$G,7,0),0),0)+IF(AA138&lt;&gt;"",AB138*IFERROR(VLOOKUP(AA138,'DATOS COSTES POLIAMIDAS'!$A:$G,7,0),0),0)+IF(AC138&lt;&gt;"",AD138*IFERROR(VLOOKUP(AC138,'DATOS COSTES POLIAMIDAS'!$A:$G,7,0),0),0)+IF(AE138&lt;&gt;"",IFERROR(VLOOKUP(AE138,'DATOS COSTES MECANIZADOS'!$A:$F,6,0),0),0),4))</f>
        <v/>
      </c>
      <c r="AZ138" s="18" t="str">
        <f>IF($A138="","",ROUND(AY138+R138*CONFIGURACION!$B$6,4))</f>
        <v/>
      </c>
      <c r="BA138" s="18" t="str">
        <f>IF($A138="","",ROUND(AY138+R138*CONFIGURACION!$B$7,4))</f>
        <v/>
      </c>
      <c r="BB138" s="18" t="str">
        <f>IF($A138="","",ROUND(AY138+R138*CONFIGURACION!$B$5,4))</f>
        <v/>
      </c>
      <c r="BC138" s="18" t="str">
        <f>IF($A138="","",ROUND(AY138+R138*CONFIGURACION!$B$10+R138*T138*CONFIGURACION!$B$11,4))</f>
        <v/>
      </c>
      <c r="BD138" s="18" t="str">
        <f>IF($A138="","",ROUND(AY138+R138*CONFIGURACION!$B$8,4))</f>
        <v/>
      </c>
      <c r="BE138" s="18" t="str">
        <f>IF($A138="","",ROUND(AY138+R138*CONFIGURACION!$B$9,4))</f>
        <v/>
      </c>
      <c r="BF138" s="18" t="str">
        <f>IF($A138="","",ROUND(AY138+R138*CONFIGURACION!$B$13,4))</f>
        <v/>
      </c>
      <c r="BG138" s="18" t="str">
        <f>IF($A138="","",ROUND(AY138+R138*CONFIGURACION!$B$12,4))</f>
        <v/>
      </c>
      <c r="BH138" s="18" t="str">
        <f t="shared" si="46"/>
        <v/>
      </c>
      <c r="BI138" s="18" t="str">
        <f t="shared" si="47"/>
        <v/>
      </c>
      <c r="BJ138" s="18" t="str">
        <f t="shared" si="48"/>
        <v/>
      </c>
      <c r="BK138" s="18" t="str">
        <f t="shared" si="49"/>
        <v/>
      </c>
      <c r="BL138" s="18" t="str">
        <f t="shared" si="50"/>
        <v/>
      </c>
      <c r="BM138" s="18" t="str">
        <f t="shared" si="51"/>
        <v/>
      </c>
      <c r="BN138" s="18" t="str">
        <f t="shared" si="52"/>
        <v/>
      </c>
      <c r="BO138" s="18" t="str">
        <f t="shared" si="53"/>
        <v/>
      </c>
      <c r="BP138" s="18" t="str">
        <f t="shared" si="54"/>
        <v/>
      </c>
      <c r="BQ138" s="16"/>
      <c r="BR138" s="16"/>
      <c r="BS138" s="17"/>
    </row>
    <row r="139" spans="1:71" ht="16.05" customHeight="1" x14ac:dyDescent="0.3">
      <c r="A139" s="16"/>
      <c r="B139" s="16"/>
      <c r="C139" s="17"/>
      <c r="D139" s="17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7" t="str">
        <f t="shared" si="44"/>
        <v/>
      </c>
      <c r="V139" s="17" t="str">
        <f t="shared" si="45"/>
        <v/>
      </c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8" t="str">
        <f>IF($A139="","",ROUND(P139*CONFIGURACION!$B$2+IF(W139&lt;&gt;"",X139*IFERROR(VLOOKUP(W139,'DATOS COSTES POLIAMIDAS'!$A:$G,7,0),0),0)+IF(Y139&lt;&gt;"",Z139*IFERROR(VLOOKUP(Y139,'DATOS COSTES POLIAMIDAS'!$A:$G,7,0),0),0)+IF(AA139&lt;&gt;"",AB139*IFERROR(VLOOKUP(AA139,'DATOS COSTES POLIAMIDAS'!$A:$G,7,0),0),0)+IF(AC139&lt;&gt;"",AD139*IFERROR(VLOOKUP(AC139,'DATOS COSTES POLIAMIDAS'!$A:$G,7,0),0),0)+IF(AE139&lt;&gt;"",IFERROR(VLOOKUP(AE139,'DATOS COSTES MECANIZADOS'!$A:$F,6,0),0),0),4))</f>
        <v/>
      </c>
      <c r="AZ139" s="18" t="str">
        <f>IF($A139="","",ROUND(AY139+R139*CONFIGURACION!$B$6,4))</f>
        <v/>
      </c>
      <c r="BA139" s="18" t="str">
        <f>IF($A139="","",ROUND(AY139+R139*CONFIGURACION!$B$7,4))</f>
        <v/>
      </c>
      <c r="BB139" s="18" t="str">
        <f>IF($A139="","",ROUND(AY139+R139*CONFIGURACION!$B$5,4))</f>
        <v/>
      </c>
      <c r="BC139" s="18" t="str">
        <f>IF($A139="","",ROUND(AY139+R139*CONFIGURACION!$B$10+R139*T139*CONFIGURACION!$B$11,4))</f>
        <v/>
      </c>
      <c r="BD139" s="18" t="str">
        <f>IF($A139="","",ROUND(AY139+R139*CONFIGURACION!$B$8,4))</f>
        <v/>
      </c>
      <c r="BE139" s="18" t="str">
        <f>IF($A139="","",ROUND(AY139+R139*CONFIGURACION!$B$9,4))</f>
        <v/>
      </c>
      <c r="BF139" s="18" t="str">
        <f>IF($A139="","",ROUND(AY139+R139*CONFIGURACION!$B$13,4))</f>
        <v/>
      </c>
      <c r="BG139" s="18" t="str">
        <f>IF($A139="","",ROUND(AY139+R139*CONFIGURACION!$B$12,4))</f>
        <v/>
      </c>
      <c r="BH139" s="18" t="str">
        <f t="shared" si="46"/>
        <v/>
      </c>
      <c r="BI139" s="18" t="str">
        <f t="shared" si="47"/>
        <v/>
      </c>
      <c r="BJ139" s="18" t="str">
        <f t="shared" si="48"/>
        <v/>
      </c>
      <c r="BK139" s="18" t="str">
        <f t="shared" si="49"/>
        <v/>
      </c>
      <c r="BL139" s="18" t="str">
        <f t="shared" si="50"/>
        <v/>
      </c>
      <c r="BM139" s="18" t="str">
        <f t="shared" si="51"/>
        <v/>
      </c>
      <c r="BN139" s="18" t="str">
        <f t="shared" si="52"/>
        <v/>
      </c>
      <c r="BO139" s="18" t="str">
        <f t="shared" si="53"/>
        <v/>
      </c>
      <c r="BP139" s="18" t="str">
        <f t="shared" si="54"/>
        <v/>
      </c>
      <c r="BQ139" s="16"/>
      <c r="BR139" s="16"/>
      <c r="BS139" s="17"/>
    </row>
    <row r="140" spans="1:71" ht="16.05" customHeight="1" x14ac:dyDescent="0.3">
      <c r="A140" s="16"/>
      <c r="B140" s="16"/>
      <c r="C140" s="17"/>
      <c r="D140" s="17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7" t="str">
        <f t="shared" si="44"/>
        <v/>
      </c>
      <c r="V140" s="17" t="str">
        <f t="shared" si="45"/>
        <v/>
      </c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8" t="str">
        <f>IF($A140="","",ROUND(P140*CONFIGURACION!$B$2+IF(W140&lt;&gt;"",X140*IFERROR(VLOOKUP(W140,'DATOS COSTES POLIAMIDAS'!$A:$G,7,0),0),0)+IF(Y140&lt;&gt;"",Z140*IFERROR(VLOOKUP(Y140,'DATOS COSTES POLIAMIDAS'!$A:$G,7,0),0),0)+IF(AA140&lt;&gt;"",AB140*IFERROR(VLOOKUP(AA140,'DATOS COSTES POLIAMIDAS'!$A:$G,7,0),0),0)+IF(AC140&lt;&gt;"",AD140*IFERROR(VLOOKUP(AC140,'DATOS COSTES POLIAMIDAS'!$A:$G,7,0),0),0)+IF(AE140&lt;&gt;"",IFERROR(VLOOKUP(AE140,'DATOS COSTES MECANIZADOS'!$A:$F,6,0),0),0),4))</f>
        <v/>
      </c>
      <c r="AZ140" s="18" t="str">
        <f>IF($A140="","",ROUND(AY140+R140*CONFIGURACION!$B$6,4))</f>
        <v/>
      </c>
      <c r="BA140" s="18" t="str">
        <f>IF($A140="","",ROUND(AY140+R140*CONFIGURACION!$B$7,4))</f>
        <v/>
      </c>
      <c r="BB140" s="18" t="str">
        <f>IF($A140="","",ROUND(AY140+R140*CONFIGURACION!$B$5,4))</f>
        <v/>
      </c>
      <c r="BC140" s="18" t="str">
        <f>IF($A140="","",ROUND(AY140+R140*CONFIGURACION!$B$10+R140*T140*CONFIGURACION!$B$11,4))</f>
        <v/>
      </c>
      <c r="BD140" s="18" t="str">
        <f>IF($A140="","",ROUND(AY140+R140*CONFIGURACION!$B$8,4))</f>
        <v/>
      </c>
      <c r="BE140" s="18" t="str">
        <f>IF($A140="","",ROUND(AY140+R140*CONFIGURACION!$B$9,4))</f>
        <v/>
      </c>
      <c r="BF140" s="18" t="str">
        <f>IF($A140="","",ROUND(AY140+R140*CONFIGURACION!$B$13,4))</f>
        <v/>
      </c>
      <c r="BG140" s="18" t="str">
        <f>IF($A140="","",ROUND(AY140+R140*CONFIGURACION!$B$12,4))</f>
        <v/>
      </c>
      <c r="BH140" s="18" t="str">
        <f t="shared" si="46"/>
        <v/>
      </c>
      <c r="BI140" s="18" t="str">
        <f t="shared" si="47"/>
        <v/>
      </c>
      <c r="BJ140" s="18" t="str">
        <f t="shared" si="48"/>
        <v/>
      </c>
      <c r="BK140" s="18" t="str">
        <f t="shared" si="49"/>
        <v/>
      </c>
      <c r="BL140" s="18" t="str">
        <f t="shared" si="50"/>
        <v/>
      </c>
      <c r="BM140" s="18" t="str">
        <f t="shared" si="51"/>
        <v/>
      </c>
      <c r="BN140" s="18" t="str">
        <f t="shared" si="52"/>
        <v/>
      </c>
      <c r="BO140" s="18" t="str">
        <f t="shared" si="53"/>
        <v/>
      </c>
      <c r="BP140" s="18" t="str">
        <f t="shared" si="54"/>
        <v/>
      </c>
      <c r="BQ140" s="16"/>
      <c r="BR140" s="16"/>
      <c r="BS140" s="17"/>
    </row>
    <row r="141" spans="1:71" ht="16.05" customHeight="1" x14ac:dyDescent="0.3">
      <c r="A141" s="16"/>
      <c r="B141" s="16"/>
      <c r="C141" s="17"/>
      <c r="D141" s="17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7" t="str">
        <f t="shared" si="44"/>
        <v/>
      </c>
      <c r="V141" s="17" t="str">
        <f t="shared" si="45"/>
        <v/>
      </c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8" t="str">
        <f>IF($A141="","",ROUND(P141*CONFIGURACION!$B$2+IF(W141&lt;&gt;"",X141*IFERROR(VLOOKUP(W141,'DATOS COSTES POLIAMIDAS'!$A:$G,7,0),0),0)+IF(Y141&lt;&gt;"",Z141*IFERROR(VLOOKUP(Y141,'DATOS COSTES POLIAMIDAS'!$A:$G,7,0),0),0)+IF(AA141&lt;&gt;"",AB141*IFERROR(VLOOKUP(AA141,'DATOS COSTES POLIAMIDAS'!$A:$G,7,0),0),0)+IF(AC141&lt;&gt;"",AD141*IFERROR(VLOOKUP(AC141,'DATOS COSTES POLIAMIDAS'!$A:$G,7,0),0),0)+IF(AE141&lt;&gt;"",IFERROR(VLOOKUP(AE141,'DATOS COSTES MECANIZADOS'!$A:$F,6,0),0),0),4))</f>
        <v/>
      </c>
      <c r="AZ141" s="18" t="str">
        <f>IF($A141="","",ROUND(AY141+R141*CONFIGURACION!$B$6,4))</f>
        <v/>
      </c>
      <c r="BA141" s="18" t="str">
        <f>IF($A141="","",ROUND(AY141+R141*CONFIGURACION!$B$7,4))</f>
        <v/>
      </c>
      <c r="BB141" s="18" t="str">
        <f>IF($A141="","",ROUND(AY141+R141*CONFIGURACION!$B$5,4))</f>
        <v/>
      </c>
      <c r="BC141" s="18" t="str">
        <f>IF($A141="","",ROUND(AY141+R141*CONFIGURACION!$B$10+R141*T141*CONFIGURACION!$B$11,4))</f>
        <v/>
      </c>
      <c r="BD141" s="18" t="str">
        <f>IF($A141="","",ROUND(AY141+R141*CONFIGURACION!$B$8,4))</f>
        <v/>
      </c>
      <c r="BE141" s="18" t="str">
        <f>IF($A141="","",ROUND(AY141+R141*CONFIGURACION!$B$9,4))</f>
        <v/>
      </c>
      <c r="BF141" s="18" t="str">
        <f>IF($A141="","",ROUND(AY141+R141*CONFIGURACION!$B$13,4))</f>
        <v/>
      </c>
      <c r="BG141" s="18" t="str">
        <f>IF($A141="","",ROUND(AY141+R141*CONFIGURACION!$B$12,4))</f>
        <v/>
      </c>
      <c r="BH141" s="18" t="str">
        <f t="shared" si="46"/>
        <v/>
      </c>
      <c r="BI141" s="18" t="str">
        <f t="shared" si="47"/>
        <v/>
      </c>
      <c r="BJ141" s="18" t="str">
        <f t="shared" si="48"/>
        <v/>
      </c>
      <c r="BK141" s="18" t="str">
        <f t="shared" si="49"/>
        <v/>
      </c>
      <c r="BL141" s="18" t="str">
        <f t="shared" si="50"/>
        <v/>
      </c>
      <c r="BM141" s="18" t="str">
        <f t="shared" si="51"/>
        <v/>
      </c>
      <c r="BN141" s="18" t="str">
        <f t="shared" si="52"/>
        <v/>
      </c>
      <c r="BO141" s="18" t="str">
        <f t="shared" si="53"/>
        <v/>
      </c>
      <c r="BP141" s="18" t="str">
        <f t="shared" si="54"/>
        <v/>
      </c>
      <c r="BQ141" s="16"/>
      <c r="BR141" s="16"/>
      <c r="BS141" s="17"/>
    </row>
    <row r="142" spans="1:71" ht="16.05" customHeight="1" x14ac:dyDescent="0.3">
      <c r="A142" s="16"/>
      <c r="B142" s="16"/>
      <c r="C142" s="17"/>
      <c r="D142" s="17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7" t="str">
        <f t="shared" si="44"/>
        <v/>
      </c>
      <c r="V142" s="17" t="str">
        <f t="shared" si="45"/>
        <v/>
      </c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8" t="str">
        <f>IF($A142="","",ROUND(P142*CONFIGURACION!$B$2+IF(W142&lt;&gt;"",X142*IFERROR(VLOOKUP(W142,'DATOS COSTES POLIAMIDAS'!$A:$G,7,0),0),0)+IF(Y142&lt;&gt;"",Z142*IFERROR(VLOOKUP(Y142,'DATOS COSTES POLIAMIDAS'!$A:$G,7,0),0),0)+IF(AA142&lt;&gt;"",AB142*IFERROR(VLOOKUP(AA142,'DATOS COSTES POLIAMIDAS'!$A:$G,7,0),0),0)+IF(AC142&lt;&gt;"",AD142*IFERROR(VLOOKUP(AC142,'DATOS COSTES POLIAMIDAS'!$A:$G,7,0),0),0)+IF(AE142&lt;&gt;"",IFERROR(VLOOKUP(AE142,'DATOS COSTES MECANIZADOS'!$A:$F,6,0),0),0),4))</f>
        <v/>
      </c>
      <c r="AZ142" s="18" t="str">
        <f>IF($A142="","",ROUND(AY142+R142*CONFIGURACION!$B$6,4))</f>
        <v/>
      </c>
      <c r="BA142" s="18" t="str">
        <f>IF($A142="","",ROUND(AY142+R142*CONFIGURACION!$B$7,4))</f>
        <v/>
      </c>
      <c r="BB142" s="18" t="str">
        <f>IF($A142="","",ROUND(AY142+R142*CONFIGURACION!$B$5,4))</f>
        <v/>
      </c>
      <c r="BC142" s="18" t="str">
        <f>IF($A142="","",ROUND(AY142+R142*CONFIGURACION!$B$10+R142*T142*CONFIGURACION!$B$11,4))</f>
        <v/>
      </c>
      <c r="BD142" s="18" t="str">
        <f>IF($A142="","",ROUND(AY142+R142*CONFIGURACION!$B$8,4))</f>
        <v/>
      </c>
      <c r="BE142" s="18" t="str">
        <f>IF($A142="","",ROUND(AY142+R142*CONFIGURACION!$B$9,4))</f>
        <v/>
      </c>
      <c r="BF142" s="18" t="str">
        <f>IF($A142="","",ROUND(AY142+R142*CONFIGURACION!$B$13,4))</f>
        <v/>
      </c>
      <c r="BG142" s="18" t="str">
        <f>IF($A142="","",ROUND(AY142+R142*CONFIGURACION!$B$12,4))</f>
        <v/>
      </c>
      <c r="BH142" s="18" t="str">
        <f t="shared" si="46"/>
        <v/>
      </c>
      <c r="BI142" s="18" t="str">
        <f t="shared" si="47"/>
        <v/>
      </c>
      <c r="BJ142" s="18" t="str">
        <f t="shared" si="48"/>
        <v/>
      </c>
      <c r="BK142" s="18" t="str">
        <f t="shared" si="49"/>
        <v/>
      </c>
      <c r="BL142" s="18" t="str">
        <f t="shared" si="50"/>
        <v/>
      </c>
      <c r="BM142" s="18" t="str">
        <f t="shared" si="51"/>
        <v/>
      </c>
      <c r="BN142" s="18" t="str">
        <f t="shared" si="52"/>
        <v/>
      </c>
      <c r="BO142" s="18" t="str">
        <f t="shared" si="53"/>
        <v/>
      </c>
      <c r="BP142" s="18" t="str">
        <f t="shared" si="54"/>
        <v/>
      </c>
      <c r="BQ142" s="16"/>
      <c r="BR142" s="16"/>
      <c r="BS142" s="17"/>
    </row>
    <row r="143" spans="1:71" ht="16.05" customHeight="1" x14ac:dyDescent="0.3">
      <c r="A143" s="16"/>
      <c r="B143" s="16"/>
      <c r="C143" s="17"/>
      <c r="D143" s="17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7" t="str">
        <f t="shared" si="44"/>
        <v/>
      </c>
      <c r="V143" s="17" t="str">
        <f t="shared" si="45"/>
        <v/>
      </c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8" t="str">
        <f>IF($A143="","",ROUND(P143*CONFIGURACION!$B$2+IF(W143&lt;&gt;"",X143*IFERROR(VLOOKUP(W143,'DATOS COSTES POLIAMIDAS'!$A:$G,7,0),0),0)+IF(Y143&lt;&gt;"",Z143*IFERROR(VLOOKUP(Y143,'DATOS COSTES POLIAMIDAS'!$A:$G,7,0),0),0)+IF(AA143&lt;&gt;"",AB143*IFERROR(VLOOKUP(AA143,'DATOS COSTES POLIAMIDAS'!$A:$G,7,0),0),0)+IF(AC143&lt;&gt;"",AD143*IFERROR(VLOOKUP(AC143,'DATOS COSTES POLIAMIDAS'!$A:$G,7,0),0),0)+IF(AE143&lt;&gt;"",IFERROR(VLOOKUP(AE143,'DATOS COSTES MECANIZADOS'!$A:$F,6,0),0),0),4))</f>
        <v/>
      </c>
      <c r="AZ143" s="18" t="str">
        <f>IF($A143="","",ROUND(AY143+R143*CONFIGURACION!$B$6,4))</f>
        <v/>
      </c>
      <c r="BA143" s="18" t="str">
        <f>IF($A143="","",ROUND(AY143+R143*CONFIGURACION!$B$7,4))</f>
        <v/>
      </c>
      <c r="BB143" s="18" t="str">
        <f>IF($A143="","",ROUND(AY143+R143*CONFIGURACION!$B$5,4))</f>
        <v/>
      </c>
      <c r="BC143" s="18" t="str">
        <f>IF($A143="","",ROUND(AY143+R143*CONFIGURACION!$B$10+R143*T143*CONFIGURACION!$B$11,4))</f>
        <v/>
      </c>
      <c r="BD143" s="18" t="str">
        <f>IF($A143="","",ROUND(AY143+R143*CONFIGURACION!$B$8,4))</f>
        <v/>
      </c>
      <c r="BE143" s="18" t="str">
        <f>IF($A143="","",ROUND(AY143+R143*CONFIGURACION!$B$9,4))</f>
        <v/>
      </c>
      <c r="BF143" s="18" t="str">
        <f>IF($A143="","",ROUND(AY143+R143*CONFIGURACION!$B$13,4))</f>
        <v/>
      </c>
      <c r="BG143" s="18" t="str">
        <f>IF($A143="","",ROUND(AY143+R143*CONFIGURACION!$B$12,4))</f>
        <v/>
      </c>
      <c r="BH143" s="18" t="str">
        <f t="shared" si="46"/>
        <v/>
      </c>
      <c r="BI143" s="18" t="str">
        <f t="shared" si="47"/>
        <v/>
      </c>
      <c r="BJ143" s="18" t="str">
        <f t="shared" si="48"/>
        <v/>
      </c>
      <c r="BK143" s="18" t="str">
        <f t="shared" si="49"/>
        <v/>
      </c>
      <c r="BL143" s="18" t="str">
        <f t="shared" si="50"/>
        <v/>
      </c>
      <c r="BM143" s="18" t="str">
        <f t="shared" si="51"/>
        <v/>
      </c>
      <c r="BN143" s="18" t="str">
        <f t="shared" si="52"/>
        <v/>
      </c>
      <c r="BO143" s="18" t="str">
        <f t="shared" si="53"/>
        <v/>
      </c>
      <c r="BP143" s="18" t="str">
        <f t="shared" si="54"/>
        <v/>
      </c>
      <c r="BQ143" s="16"/>
      <c r="BR143" s="16"/>
      <c r="BS143" s="17"/>
    </row>
    <row r="144" spans="1:71" ht="16.05" customHeight="1" x14ac:dyDescent="0.3">
      <c r="A144" s="16"/>
      <c r="B144" s="16"/>
      <c r="C144" s="17"/>
      <c r="D144" s="17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7" t="str">
        <f t="shared" si="44"/>
        <v/>
      </c>
      <c r="V144" s="17" t="str">
        <f t="shared" si="45"/>
        <v/>
      </c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8" t="str">
        <f>IF($A144="","",ROUND(P144*CONFIGURACION!$B$2+IF(W144&lt;&gt;"",X144*IFERROR(VLOOKUP(W144,'DATOS COSTES POLIAMIDAS'!$A:$G,7,0),0),0)+IF(Y144&lt;&gt;"",Z144*IFERROR(VLOOKUP(Y144,'DATOS COSTES POLIAMIDAS'!$A:$G,7,0),0),0)+IF(AA144&lt;&gt;"",AB144*IFERROR(VLOOKUP(AA144,'DATOS COSTES POLIAMIDAS'!$A:$G,7,0),0),0)+IF(AC144&lt;&gt;"",AD144*IFERROR(VLOOKUP(AC144,'DATOS COSTES POLIAMIDAS'!$A:$G,7,0),0),0)+IF(AE144&lt;&gt;"",IFERROR(VLOOKUP(AE144,'DATOS COSTES MECANIZADOS'!$A:$F,6,0),0),0),4))</f>
        <v/>
      </c>
      <c r="AZ144" s="18" t="str">
        <f>IF($A144="","",ROUND(AY144+R144*CONFIGURACION!$B$6,4))</f>
        <v/>
      </c>
      <c r="BA144" s="18" t="str">
        <f>IF($A144="","",ROUND(AY144+R144*CONFIGURACION!$B$7,4))</f>
        <v/>
      </c>
      <c r="BB144" s="18" t="str">
        <f>IF($A144="","",ROUND(AY144+R144*CONFIGURACION!$B$5,4))</f>
        <v/>
      </c>
      <c r="BC144" s="18" t="str">
        <f>IF($A144="","",ROUND(AY144+R144*CONFIGURACION!$B$10+R144*T144*CONFIGURACION!$B$11,4))</f>
        <v/>
      </c>
      <c r="BD144" s="18" t="str">
        <f>IF($A144="","",ROUND(AY144+R144*CONFIGURACION!$B$8,4))</f>
        <v/>
      </c>
      <c r="BE144" s="18" t="str">
        <f>IF($A144="","",ROUND(AY144+R144*CONFIGURACION!$B$9,4))</f>
        <v/>
      </c>
      <c r="BF144" s="18" t="str">
        <f>IF($A144="","",ROUND(AY144+R144*CONFIGURACION!$B$13,4))</f>
        <v/>
      </c>
      <c r="BG144" s="18" t="str">
        <f>IF($A144="","",ROUND(AY144+R144*CONFIGURACION!$B$12,4))</f>
        <v/>
      </c>
      <c r="BH144" s="18" t="str">
        <f t="shared" si="46"/>
        <v/>
      </c>
      <c r="BI144" s="18" t="str">
        <f t="shared" si="47"/>
        <v/>
      </c>
      <c r="BJ144" s="18" t="str">
        <f t="shared" si="48"/>
        <v/>
      </c>
      <c r="BK144" s="18" t="str">
        <f t="shared" si="49"/>
        <v/>
      </c>
      <c r="BL144" s="18" t="str">
        <f t="shared" si="50"/>
        <v/>
      </c>
      <c r="BM144" s="18" t="str">
        <f t="shared" si="51"/>
        <v/>
      </c>
      <c r="BN144" s="18" t="str">
        <f t="shared" si="52"/>
        <v/>
      </c>
      <c r="BO144" s="18" t="str">
        <f t="shared" si="53"/>
        <v/>
      </c>
      <c r="BP144" s="18" t="str">
        <f t="shared" si="54"/>
        <v/>
      </c>
      <c r="BQ144" s="16"/>
      <c r="BR144" s="16"/>
      <c r="BS144" s="17"/>
    </row>
    <row r="145" spans="1:71" ht="16.05" customHeight="1" x14ac:dyDescent="0.3">
      <c r="A145" s="16"/>
      <c r="B145" s="16"/>
      <c r="C145" s="17"/>
      <c r="D145" s="17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7" t="str">
        <f t="shared" si="44"/>
        <v/>
      </c>
      <c r="V145" s="17" t="str">
        <f t="shared" si="45"/>
        <v/>
      </c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8" t="str">
        <f>IF($A145="","",ROUND(P145*CONFIGURACION!$B$2+IF(W145&lt;&gt;"",X145*IFERROR(VLOOKUP(W145,'DATOS COSTES POLIAMIDAS'!$A:$G,7,0),0),0)+IF(Y145&lt;&gt;"",Z145*IFERROR(VLOOKUP(Y145,'DATOS COSTES POLIAMIDAS'!$A:$G,7,0),0),0)+IF(AA145&lt;&gt;"",AB145*IFERROR(VLOOKUP(AA145,'DATOS COSTES POLIAMIDAS'!$A:$G,7,0),0),0)+IF(AC145&lt;&gt;"",AD145*IFERROR(VLOOKUP(AC145,'DATOS COSTES POLIAMIDAS'!$A:$G,7,0),0),0)+IF(AE145&lt;&gt;"",IFERROR(VLOOKUP(AE145,'DATOS COSTES MECANIZADOS'!$A:$F,6,0),0),0),4))</f>
        <v/>
      </c>
      <c r="AZ145" s="18" t="str">
        <f>IF($A145="","",ROUND(AY145+R145*CONFIGURACION!$B$6,4))</f>
        <v/>
      </c>
      <c r="BA145" s="18" t="str">
        <f>IF($A145="","",ROUND(AY145+R145*CONFIGURACION!$B$7,4))</f>
        <v/>
      </c>
      <c r="BB145" s="18" t="str">
        <f>IF($A145="","",ROUND(AY145+R145*CONFIGURACION!$B$5,4))</f>
        <v/>
      </c>
      <c r="BC145" s="18" t="str">
        <f>IF($A145="","",ROUND(AY145+R145*CONFIGURACION!$B$10+R145*T145*CONFIGURACION!$B$11,4))</f>
        <v/>
      </c>
      <c r="BD145" s="18" t="str">
        <f>IF($A145="","",ROUND(AY145+R145*CONFIGURACION!$B$8,4))</f>
        <v/>
      </c>
      <c r="BE145" s="18" t="str">
        <f>IF($A145="","",ROUND(AY145+R145*CONFIGURACION!$B$9,4))</f>
        <v/>
      </c>
      <c r="BF145" s="18" t="str">
        <f>IF($A145="","",ROUND(AY145+R145*CONFIGURACION!$B$13,4))</f>
        <v/>
      </c>
      <c r="BG145" s="18" t="str">
        <f>IF($A145="","",ROUND(AY145+R145*CONFIGURACION!$B$12,4))</f>
        <v/>
      </c>
      <c r="BH145" s="18" t="str">
        <f t="shared" si="46"/>
        <v/>
      </c>
      <c r="BI145" s="18" t="str">
        <f t="shared" si="47"/>
        <v/>
      </c>
      <c r="BJ145" s="18" t="str">
        <f t="shared" si="48"/>
        <v/>
      </c>
      <c r="BK145" s="18" t="str">
        <f t="shared" si="49"/>
        <v/>
      </c>
      <c r="BL145" s="18" t="str">
        <f t="shared" si="50"/>
        <v/>
      </c>
      <c r="BM145" s="18" t="str">
        <f t="shared" si="51"/>
        <v/>
      </c>
      <c r="BN145" s="18" t="str">
        <f t="shared" si="52"/>
        <v/>
      </c>
      <c r="BO145" s="18" t="str">
        <f t="shared" si="53"/>
        <v/>
      </c>
      <c r="BP145" s="18" t="str">
        <f t="shared" si="54"/>
        <v/>
      </c>
      <c r="BQ145" s="16"/>
      <c r="BR145" s="16"/>
      <c r="BS145" s="17"/>
    </row>
    <row r="146" spans="1:71" ht="16.05" customHeight="1" x14ac:dyDescent="0.3">
      <c r="A146" s="16"/>
      <c r="B146" s="16"/>
      <c r="C146" s="17"/>
      <c r="D146" s="17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7" t="str">
        <f t="shared" si="44"/>
        <v/>
      </c>
      <c r="V146" s="17" t="str">
        <f t="shared" si="45"/>
        <v/>
      </c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8" t="str">
        <f>IF($A146="","",ROUND(P146*CONFIGURACION!$B$2+IF(W146&lt;&gt;"",X146*IFERROR(VLOOKUP(W146,'DATOS COSTES POLIAMIDAS'!$A:$G,7,0),0),0)+IF(Y146&lt;&gt;"",Z146*IFERROR(VLOOKUP(Y146,'DATOS COSTES POLIAMIDAS'!$A:$G,7,0),0),0)+IF(AA146&lt;&gt;"",AB146*IFERROR(VLOOKUP(AA146,'DATOS COSTES POLIAMIDAS'!$A:$G,7,0),0),0)+IF(AC146&lt;&gt;"",AD146*IFERROR(VLOOKUP(AC146,'DATOS COSTES POLIAMIDAS'!$A:$G,7,0),0),0)+IF(AE146&lt;&gt;"",IFERROR(VLOOKUP(AE146,'DATOS COSTES MECANIZADOS'!$A:$F,6,0),0),0),4))</f>
        <v/>
      </c>
      <c r="AZ146" s="18" t="str">
        <f>IF($A146="","",ROUND(AY146+R146*CONFIGURACION!$B$6,4))</f>
        <v/>
      </c>
      <c r="BA146" s="18" t="str">
        <f>IF($A146="","",ROUND(AY146+R146*CONFIGURACION!$B$7,4))</f>
        <v/>
      </c>
      <c r="BB146" s="18" t="str">
        <f>IF($A146="","",ROUND(AY146+R146*CONFIGURACION!$B$5,4))</f>
        <v/>
      </c>
      <c r="BC146" s="18" t="str">
        <f>IF($A146="","",ROUND(AY146+R146*CONFIGURACION!$B$10+R146*T146*CONFIGURACION!$B$11,4))</f>
        <v/>
      </c>
      <c r="BD146" s="18" t="str">
        <f>IF($A146="","",ROUND(AY146+R146*CONFIGURACION!$B$8,4))</f>
        <v/>
      </c>
      <c r="BE146" s="18" t="str">
        <f>IF($A146="","",ROUND(AY146+R146*CONFIGURACION!$B$9,4))</f>
        <v/>
      </c>
      <c r="BF146" s="18" t="str">
        <f>IF($A146="","",ROUND(AY146+R146*CONFIGURACION!$B$13,4))</f>
        <v/>
      </c>
      <c r="BG146" s="18" t="str">
        <f>IF($A146="","",ROUND(AY146+R146*CONFIGURACION!$B$12,4))</f>
        <v/>
      </c>
      <c r="BH146" s="18" t="str">
        <f t="shared" si="46"/>
        <v/>
      </c>
      <c r="BI146" s="18" t="str">
        <f t="shared" si="47"/>
        <v/>
      </c>
      <c r="BJ146" s="18" t="str">
        <f t="shared" si="48"/>
        <v/>
      </c>
      <c r="BK146" s="18" t="str">
        <f t="shared" si="49"/>
        <v/>
      </c>
      <c r="BL146" s="18" t="str">
        <f t="shared" si="50"/>
        <v/>
      </c>
      <c r="BM146" s="18" t="str">
        <f t="shared" si="51"/>
        <v/>
      </c>
      <c r="BN146" s="18" t="str">
        <f t="shared" si="52"/>
        <v/>
      </c>
      <c r="BO146" s="18" t="str">
        <f t="shared" si="53"/>
        <v/>
      </c>
      <c r="BP146" s="18" t="str">
        <f t="shared" si="54"/>
        <v/>
      </c>
      <c r="BQ146" s="16"/>
      <c r="BR146" s="16"/>
      <c r="BS146" s="17"/>
    </row>
    <row r="147" spans="1:71" ht="16.05" customHeight="1" x14ac:dyDescent="0.3">
      <c r="A147" s="16"/>
      <c r="B147" s="16"/>
      <c r="C147" s="17"/>
      <c r="D147" s="17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7" t="str">
        <f t="shared" si="44"/>
        <v/>
      </c>
      <c r="V147" s="17" t="str">
        <f t="shared" si="45"/>
        <v/>
      </c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8" t="str">
        <f>IF($A147="","",ROUND(P147*CONFIGURACION!$B$2+IF(W147&lt;&gt;"",X147*IFERROR(VLOOKUP(W147,'DATOS COSTES POLIAMIDAS'!$A:$G,7,0),0),0)+IF(Y147&lt;&gt;"",Z147*IFERROR(VLOOKUP(Y147,'DATOS COSTES POLIAMIDAS'!$A:$G,7,0),0),0)+IF(AA147&lt;&gt;"",AB147*IFERROR(VLOOKUP(AA147,'DATOS COSTES POLIAMIDAS'!$A:$G,7,0),0),0)+IF(AC147&lt;&gt;"",AD147*IFERROR(VLOOKUP(AC147,'DATOS COSTES POLIAMIDAS'!$A:$G,7,0),0),0)+IF(AE147&lt;&gt;"",IFERROR(VLOOKUP(AE147,'DATOS COSTES MECANIZADOS'!$A:$F,6,0),0),0),4))</f>
        <v/>
      </c>
      <c r="AZ147" s="18" t="str">
        <f>IF($A147="","",ROUND(AY147+R147*CONFIGURACION!$B$6,4))</f>
        <v/>
      </c>
      <c r="BA147" s="18" t="str">
        <f>IF($A147="","",ROUND(AY147+R147*CONFIGURACION!$B$7,4))</f>
        <v/>
      </c>
      <c r="BB147" s="18" t="str">
        <f>IF($A147="","",ROUND(AY147+R147*CONFIGURACION!$B$5,4))</f>
        <v/>
      </c>
      <c r="BC147" s="18" t="str">
        <f>IF($A147="","",ROUND(AY147+R147*CONFIGURACION!$B$10+R147*T147*CONFIGURACION!$B$11,4))</f>
        <v/>
      </c>
      <c r="BD147" s="18" t="str">
        <f>IF($A147="","",ROUND(AY147+R147*CONFIGURACION!$B$8,4))</f>
        <v/>
      </c>
      <c r="BE147" s="18" t="str">
        <f>IF($A147="","",ROUND(AY147+R147*CONFIGURACION!$B$9,4))</f>
        <v/>
      </c>
      <c r="BF147" s="18" t="str">
        <f>IF($A147="","",ROUND(AY147+R147*CONFIGURACION!$B$13,4))</f>
        <v/>
      </c>
      <c r="BG147" s="18" t="str">
        <f>IF($A147="","",ROUND(AY147+R147*CONFIGURACION!$B$12,4))</f>
        <v/>
      </c>
      <c r="BH147" s="18" t="str">
        <f t="shared" si="46"/>
        <v/>
      </c>
      <c r="BI147" s="18" t="str">
        <f t="shared" si="47"/>
        <v/>
      </c>
      <c r="BJ147" s="18" t="str">
        <f t="shared" si="48"/>
        <v/>
      </c>
      <c r="BK147" s="18" t="str">
        <f t="shared" si="49"/>
        <v/>
      </c>
      <c r="BL147" s="18" t="str">
        <f t="shared" si="50"/>
        <v/>
      </c>
      <c r="BM147" s="18" t="str">
        <f t="shared" si="51"/>
        <v/>
      </c>
      <c r="BN147" s="18" t="str">
        <f t="shared" si="52"/>
        <v/>
      </c>
      <c r="BO147" s="18" t="str">
        <f t="shared" si="53"/>
        <v/>
      </c>
      <c r="BP147" s="18" t="str">
        <f t="shared" si="54"/>
        <v/>
      </c>
      <c r="BQ147" s="16"/>
      <c r="BR147" s="16"/>
      <c r="BS147" s="17"/>
    </row>
    <row r="148" spans="1:71" ht="16.05" customHeight="1" x14ac:dyDescent="0.3">
      <c r="A148" s="16"/>
      <c r="B148" s="16"/>
      <c r="C148" s="17"/>
      <c r="D148" s="17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7" t="str">
        <f t="shared" si="44"/>
        <v/>
      </c>
      <c r="V148" s="17" t="str">
        <f t="shared" si="45"/>
        <v/>
      </c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8" t="str">
        <f>IF($A148="","",ROUND(P148*CONFIGURACION!$B$2+IF(W148&lt;&gt;"",X148*IFERROR(VLOOKUP(W148,'DATOS COSTES POLIAMIDAS'!$A:$G,7,0),0),0)+IF(Y148&lt;&gt;"",Z148*IFERROR(VLOOKUP(Y148,'DATOS COSTES POLIAMIDAS'!$A:$G,7,0),0),0)+IF(AA148&lt;&gt;"",AB148*IFERROR(VLOOKUP(AA148,'DATOS COSTES POLIAMIDAS'!$A:$G,7,0),0),0)+IF(AC148&lt;&gt;"",AD148*IFERROR(VLOOKUP(AC148,'DATOS COSTES POLIAMIDAS'!$A:$G,7,0),0),0)+IF(AE148&lt;&gt;"",IFERROR(VLOOKUP(AE148,'DATOS COSTES MECANIZADOS'!$A:$F,6,0),0),0),4))</f>
        <v/>
      </c>
      <c r="AZ148" s="18" t="str">
        <f>IF($A148="","",ROUND(AY148+R148*CONFIGURACION!$B$6,4))</f>
        <v/>
      </c>
      <c r="BA148" s="18" t="str">
        <f>IF($A148="","",ROUND(AY148+R148*CONFIGURACION!$B$7,4))</f>
        <v/>
      </c>
      <c r="BB148" s="18" t="str">
        <f>IF($A148="","",ROUND(AY148+R148*CONFIGURACION!$B$5,4))</f>
        <v/>
      </c>
      <c r="BC148" s="18" t="str">
        <f>IF($A148="","",ROUND(AY148+R148*CONFIGURACION!$B$10+R148*T148*CONFIGURACION!$B$11,4))</f>
        <v/>
      </c>
      <c r="BD148" s="18" t="str">
        <f>IF($A148="","",ROUND(AY148+R148*CONFIGURACION!$B$8,4))</f>
        <v/>
      </c>
      <c r="BE148" s="18" t="str">
        <f>IF($A148="","",ROUND(AY148+R148*CONFIGURACION!$B$9,4))</f>
        <v/>
      </c>
      <c r="BF148" s="18" t="str">
        <f>IF($A148="","",ROUND(AY148+R148*CONFIGURACION!$B$13,4))</f>
        <v/>
      </c>
      <c r="BG148" s="18" t="str">
        <f>IF($A148="","",ROUND(AY148+R148*CONFIGURACION!$B$12,4))</f>
        <v/>
      </c>
      <c r="BH148" s="18" t="str">
        <f t="shared" si="46"/>
        <v/>
      </c>
      <c r="BI148" s="18" t="str">
        <f t="shared" si="47"/>
        <v/>
      </c>
      <c r="BJ148" s="18" t="str">
        <f t="shared" si="48"/>
        <v/>
      </c>
      <c r="BK148" s="18" t="str">
        <f t="shared" si="49"/>
        <v/>
      </c>
      <c r="BL148" s="18" t="str">
        <f t="shared" si="50"/>
        <v/>
      </c>
      <c r="BM148" s="18" t="str">
        <f t="shared" si="51"/>
        <v/>
      </c>
      <c r="BN148" s="18" t="str">
        <f t="shared" si="52"/>
        <v/>
      </c>
      <c r="BO148" s="18" t="str">
        <f t="shared" si="53"/>
        <v/>
      </c>
      <c r="BP148" s="18" t="str">
        <f t="shared" si="54"/>
        <v/>
      </c>
      <c r="BQ148" s="16"/>
      <c r="BR148" s="16"/>
      <c r="BS148" s="17"/>
    </row>
    <row r="149" spans="1:71" ht="16.05" customHeight="1" x14ac:dyDescent="0.3">
      <c r="A149" s="16"/>
      <c r="B149" s="16"/>
      <c r="C149" s="17"/>
      <c r="D149" s="17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7" t="str">
        <f t="shared" si="44"/>
        <v/>
      </c>
      <c r="V149" s="17" t="str">
        <f t="shared" si="45"/>
        <v/>
      </c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8" t="str">
        <f>IF($A149="","",ROUND(P149*CONFIGURACION!$B$2+IF(W149&lt;&gt;"",X149*IFERROR(VLOOKUP(W149,'DATOS COSTES POLIAMIDAS'!$A:$G,7,0),0),0)+IF(Y149&lt;&gt;"",Z149*IFERROR(VLOOKUP(Y149,'DATOS COSTES POLIAMIDAS'!$A:$G,7,0),0),0)+IF(AA149&lt;&gt;"",AB149*IFERROR(VLOOKUP(AA149,'DATOS COSTES POLIAMIDAS'!$A:$G,7,0),0),0)+IF(AC149&lt;&gt;"",AD149*IFERROR(VLOOKUP(AC149,'DATOS COSTES POLIAMIDAS'!$A:$G,7,0),0),0)+IF(AE149&lt;&gt;"",IFERROR(VLOOKUP(AE149,'DATOS COSTES MECANIZADOS'!$A:$F,6,0),0),0),4))</f>
        <v/>
      </c>
      <c r="AZ149" s="18" t="str">
        <f>IF($A149="","",ROUND(AY149+R149*CONFIGURACION!$B$6,4))</f>
        <v/>
      </c>
      <c r="BA149" s="18" t="str">
        <f>IF($A149="","",ROUND(AY149+R149*CONFIGURACION!$B$7,4))</f>
        <v/>
      </c>
      <c r="BB149" s="18" t="str">
        <f>IF($A149="","",ROUND(AY149+R149*CONFIGURACION!$B$5,4))</f>
        <v/>
      </c>
      <c r="BC149" s="18" t="str">
        <f>IF($A149="","",ROUND(AY149+R149*CONFIGURACION!$B$10+R149*T149*CONFIGURACION!$B$11,4))</f>
        <v/>
      </c>
      <c r="BD149" s="18" t="str">
        <f>IF($A149="","",ROUND(AY149+R149*CONFIGURACION!$B$8,4))</f>
        <v/>
      </c>
      <c r="BE149" s="18" t="str">
        <f>IF($A149="","",ROUND(AY149+R149*CONFIGURACION!$B$9,4))</f>
        <v/>
      </c>
      <c r="BF149" s="18" t="str">
        <f>IF($A149="","",ROUND(AY149+R149*CONFIGURACION!$B$13,4))</f>
        <v/>
      </c>
      <c r="BG149" s="18" t="str">
        <f>IF($A149="","",ROUND(AY149+R149*CONFIGURACION!$B$12,4))</f>
        <v/>
      </c>
      <c r="BH149" s="18" t="str">
        <f t="shared" si="46"/>
        <v/>
      </c>
      <c r="BI149" s="18" t="str">
        <f t="shared" si="47"/>
        <v/>
      </c>
      <c r="BJ149" s="18" t="str">
        <f t="shared" si="48"/>
        <v/>
      </c>
      <c r="BK149" s="18" t="str">
        <f t="shared" si="49"/>
        <v/>
      </c>
      <c r="BL149" s="18" t="str">
        <f t="shared" si="50"/>
        <v/>
      </c>
      <c r="BM149" s="18" t="str">
        <f t="shared" si="51"/>
        <v/>
      </c>
      <c r="BN149" s="18" t="str">
        <f t="shared" si="52"/>
        <v/>
      </c>
      <c r="BO149" s="18" t="str">
        <f t="shared" si="53"/>
        <v/>
      </c>
      <c r="BP149" s="18" t="str">
        <f t="shared" si="54"/>
        <v/>
      </c>
      <c r="BQ149" s="16"/>
      <c r="BR149" s="16"/>
      <c r="BS149" s="17"/>
    </row>
    <row r="150" spans="1:71" ht="16.05" customHeight="1" x14ac:dyDescent="0.3">
      <c r="A150" s="16"/>
      <c r="B150" s="16"/>
      <c r="C150" s="17"/>
      <c r="D150" s="17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7" t="str">
        <f t="shared" si="44"/>
        <v/>
      </c>
      <c r="V150" s="17" t="str">
        <f t="shared" si="45"/>
        <v/>
      </c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8" t="str">
        <f>IF($A150="","",ROUND(P150*CONFIGURACION!$B$2+IF(W150&lt;&gt;"",X150*IFERROR(VLOOKUP(W150,'DATOS COSTES POLIAMIDAS'!$A:$G,7,0),0),0)+IF(Y150&lt;&gt;"",Z150*IFERROR(VLOOKUP(Y150,'DATOS COSTES POLIAMIDAS'!$A:$G,7,0),0),0)+IF(AA150&lt;&gt;"",AB150*IFERROR(VLOOKUP(AA150,'DATOS COSTES POLIAMIDAS'!$A:$G,7,0),0),0)+IF(AC150&lt;&gt;"",AD150*IFERROR(VLOOKUP(AC150,'DATOS COSTES POLIAMIDAS'!$A:$G,7,0),0),0)+IF(AE150&lt;&gt;"",IFERROR(VLOOKUP(AE150,'DATOS COSTES MECANIZADOS'!$A:$F,6,0),0),0),4))</f>
        <v/>
      </c>
      <c r="AZ150" s="18" t="str">
        <f>IF($A150="","",ROUND(AY150+R150*CONFIGURACION!$B$6,4))</f>
        <v/>
      </c>
      <c r="BA150" s="18" t="str">
        <f>IF($A150="","",ROUND(AY150+R150*CONFIGURACION!$B$7,4))</f>
        <v/>
      </c>
      <c r="BB150" s="18" t="str">
        <f>IF($A150="","",ROUND(AY150+R150*CONFIGURACION!$B$5,4))</f>
        <v/>
      </c>
      <c r="BC150" s="18" t="str">
        <f>IF($A150="","",ROUND(AY150+R150*CONFIGURACION!$B$10+R150*T150*CONFIGURACION!$B$11,4))</f>
        <v/>
      </c>
      <c r="BD150" s="18" t="str">
        <f>IF($A150="","",ROUND(AY150+R150*CONFIGURACION!$B$8,4))</f>
        <v/>
      </c>
      <c r="BE150" s="18" t="str">
        <f>IF($A150="","",ROUND(AY150+R150*CONFIGURACION!$B$9,4))</f>
        <v/>
      </c>
      <c r="BF150" s="18" t="str">
        <f>IF($A150="","",ROUND(AY150+R150*CONFIGURACION!$B$13,4))</f>
        <v/>
      </c>
      <c r="BG150" s="18" t="str">
        <f>IF($A150="","",ROUND(AY150+R150*CONFIGURACION!$B$12,4))</f>
        <v/>
      </c>
      <c r="BH150" s="18" t="str">
        <f t="shared" si="46"/>
        <v/>
      </c>
      <c r="BI150" s="18" t="str">
        <f t="shared" si="47"/>
        <v/>
      </c>
      <c r="BJ150" s="18" t="str">
        <f t="shared" si="48"/>
        <v/>
      </c>
      <c r="BK150" s="18" t="str">
        <f t="shared" si="49"/>
        <v/>
      </c>
      <c r="BL150" s="18" t="str">
        <f t="shared" si="50"/>
        <v/>
      </c>
      <c r="BM150" s="18" t="str">
        <f t="shared" si="51"/>
        <v/>
      </c>
      <c r="BN150" s="18" t="str">
        <f t="shared" si="52"/>
        <v/>
      </c>
      <c r="BO150" s="18" t="str">
        <f t="shared" si="53"/>
        <v/>
      </c>
      <c r="BP150" s="18" t="str">
        <f t="shared" si="54"/>
        <v/>
      </c>
      <c r="BQ150" s="16"/>
      <c r="BR150" s="16"/>
      <c r="BS150" s="17"/>
    </row>
    <row r="151" spans="1:71" ht="16.05" customHeight="1" x14ac:dyDescent="0.3">
      <c r="A151" s="16"/>
      <c r="B151" s="16"/>
      <c r="C151" s="17"/>
      <c r="D151" s="17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7" t="str">
        <f t="shared" si="44"/>
        <v/>
      </c>
      <c r="V151" s="17" t="str">
        <f t="shared" si="45"/>
        <v/>
      </c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8" t="str">
        <f>IF($A151="","",ROUND(P151*CONFIGURACION!$B$2+IF(W151&lt;&gt;"",X151*IFERROR(VLOOKUP(W151,'DATOS COSTES POLIAMIDAS'!$A:$G,7,0),0),0)+IF(Y151&lt;&gt;"",Z151*IFERROR(VLOOKUP(Y151,'DATOS COSTES POLIAMIDAS'!$A:$G,7,0),0),0)+IF(AA151&lt;&gt;"",AB151*IFERROR(VLOOKUP(AA151,'DATOS COSTES POLIAMIDAS'!$A:$G,7,0),0),0)+IF(AC151&lt;&gt;"",AD151*IFERROR(VLOOKUP(AC151,'DATOS COSTES POLIAMIDAS'!$A:$G,7,0),0),0)+IF(AE151&lt;&gt;"",IFERROR(VLOOKUP(AE151,'DATOS COSTES MECANIZADOS'!$A:$F,6,0),0),0),4))</f>
        <v/>
      </c>
      <c r="AZ151" s="18" t="str">
        <f>IF($A151="","",ROUND(AY151+R151*CONFIGURACION!$B$6,4))</f>
        <v/>
      </c>
      <c r="BA151" s="18" t="str">
        <f>IF($A151="","",ROUND(AY151+R151*CONFIGURACION!$B$7,4))</f>
        <v/>
      </c>
      <c r="BB151" s="18" t="str">
        <f>IF($A151="","",ROUND(AY151+R151*CONFIGURACION!$B$5,4))</f>
        <v/>
      </c>
      <c r="BC151" s="18" t="str">
        <f>IF($A151="","",ROUND(AY151+R151*CONFIGURACION!$B$10+R151*T151*CONFIGURACION!$B$11,4))</f>
        <v/>
      </c>
      <c r="BD151" s="18" t="str">
        <f>IF($A151="","",ROUND(AY151+R151*CONFIGURACION!$B$8,4))</f>
        <v/>
      </c>
      <c r="BE151" s="18" t="str">
        <f>IF($A151="","",ROUND(AY151+R151*CONFIGURACION!$B$9,4))</f>
        <v/>
      </c>
      <c r="BF151" s="18" t="str">
        <f>IF($A151="","",ROUND(AY151+R151*CONFIGURACION!$B$13,4))</f>
        <v/>
      </c>
      <c r="BG151" s="18" t="str">
        <f>IF($A151="","",ROUND(AY151+R151*CONFIGURACION!$B$12,4))</f>
        <v/>
      </c>
      <c r="BH151" s="18" t="str">
        <f t="shared" si="46"/>
        <v/>
      </c>
      <c r="BI151" s="18" t="str">
        <f t="shared" si="47"/>
        <v/>
      </c>
      <c r="BJ151" s="18" t="str">
        <f t="shared" si="48"/>
        <v/>
      </c>
      <c r="BK151" s="18" t="str">
        <f t="shared" si="49"/>
        <v/>
      </c>
      <c r="BL151" s="18" t="str">
        <f t="shared" si="50"/>
        <v/>
      </c>
      <c r="BM151" s="18" t="str">
        <f t="shared" si="51"/>
        <v/>
      </c>
      <c r="BN151" s="18" t="str">
        <f t="shared" si="52"/>
        <v/>
      </c>
      <c r="BO151" s="18" t="str">
        <f t="shared" si="53"/>
        <v/>
      </c>
      <c r="BP151" s="18" t="str">
        <f t="shared" si="54"/>
        <v/>
      </c>
      <c r="BQ151" s="16"/>
      <c r="BR151" s="16"/>
      <c r="BS151" s="17"/>
    </row>
    <row r="152" spans="1:71" ht="16.05" customHeight="1" x14ac:dyDescent="0.3">
      <c r="A152" s="16"/>
      <c r="B152" s="16"/>
      <c r="C152" s="17"/>
      <c r="D152" s="17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7" t="str">
        <f t="shared" si="44"/>
        <v/>
      </c>
      <c r="V152" s="17" t="str">
        <f t="shared" si="45"/>
        <v/>
      </c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8" t="str">
        <f>IF($A152="","",ROUND(P152*CONFIGURACION!$B$2+IF(W152&lt;&gt;"",X152*IFERROR(VLOOKUP(W152,'DATOS COSTES POLIAMIDAS'!$A:$G,7,0),0),0)+IF(Y152&lt;&gt;"",Z152*IFERROR(VLOOKUP(Y152,'DATOS COSTES POLIAMIDAS'!$A:$G,7,0),0),0)+IF(AA152&lt;&gt;"",AB152*IFERROR(VLOOKUP(AA152,'DATOS COSTES POLIAMIDAS'!$A:$G,7,0),0),0)+IF(AC152&lt;&gt;"",AD152*IFERROR(VLOOKUP(AC152,'DATOS COSTES POLIAMIDAS'!$A:$G,7,0),0),0)+IF(AE152&lt;&gt;"",IFERROR(VLOOKUP(AE152,'DATOS COSTES MECANIZADOS'!$A:$F,6,0),0),0),4))</f>
        <v/>
      </c>
      <c r="AZ152" s="18" t="str">
        <f>IF($A152="","",ROUND(AY152+R152*CONFIGURACION!$B$6,4))</f>
        <v/>
      </c>
      <c r="BA152" s="18" t="str">
        <f>IF($A152="","",ROUND(AY152+R152*CONFIGURACION!$B$7,4))</f>
        <v/>
      </c>
      <c r="BB152" s="18" t="str">
        <f>IF($A152="","",ROUND(AY152+R152*CONFIGURACION!$B$5,4))</f>
        <v/>
      </c>
      <c r="BC152" s="18" t="str">
        <f>IF($A152="","",ROUND(AY152+R152*CONFIGURACION!$B$10+R152*T152*CONFIGURACION!$B$11,4))</f>
        <v/>
      </c>
      <c r="BD152" s="18" t="str">
        <f>IF($A152="","",ROUND(AY152+R152*CONFIGURACION!$B$8,4))</f>
        <v/>
      </c>
      <c r="BE152" s="18" t="str">
        <f>IF($A152="","",ROUND(AY152+R152*CONFIGURACION!$B$9,4))</f>
        <v/>
      </c>
      <c r="BF152" s="18" t="str">
        <f>IF($A152="","",ROUND(AY152+R152*CONFIGURACION!$B$13,4))</f>
        <v/>
      </c>
      <c r="BG152" s="18" t="str">
        <f>IF($A152="","",ROUND(AY152+R152*CONFIGURACION!$B$12,4))</f>
        <v/>
      </c>
      <c r="BH152" s="18" t="str">
        <f t="shared" si="46"/>
        <v/>
      </c>
      <c r="BI152" s="18" t="str">
        <f t="shared" si="47"/>
        <v/>
      </c>
      <c r="BJ152" s="18" t="str">
        <f t="shared" si="48"/>
        <v/>
      </c>
      <c r="BK152" s="18" t="str">
        <f t="shared" si="49"/>
        <v/>
      </c>
      <c r="BL152" s="18" t="str">
        <f t="shared" si="50"/>
        <v/>
      </c>
      <c r="BM152" s="18" t="str">
        <f t="shared" si="51"/>
        <v/>
      </c>
      <c r="BN152" s="18" t="str">
        <f t="shared" si="52"/>
        <v/>
      </c>
      <c r="BO152" s="18" t="str">
        <f t="shared" si="53"/>
        <v/>
      </c>
      <c r="BP152" s="18" t="str">
        <f t="shared" si="54"/>
        <v/>
      </c>
      <c r="BQ152" s="16"/>
      <c r="BR152" s="16"/>
      <c r="BS152" s="17"/>
    </row>
    <row r="153" spans="1:71" ht="16.05" customHeight="1" x14ac:dyDescent="0.3">
      <c r="A153" s="16"/>
      <c r="B153" s="16"/>
      <c r="C153" s="17"/>
      <c r="D153" s="17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7" t="str">
        <f t="shared" si="44"/>
        <v/>
      </c>
      <c r="V153" s="17" t="str">
        <f t="shared" si="45"/>
        <v/>
      </c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8" t="str">
        <f>IF($A153="","",ROUND(P153*CONFIGURACION!$B$2+IF(W153&lt;&gt;"",X153*IFERROR(VLOOKUP(W153,'DATOS COSTES POLIAMIDAS'!$A:$G,7,0),0),0)+IF(Y153&lt;&gt;"",Z153*IFERROR(VLOOKUP(Y153,'DATOS COSTES POLIAMIDAS'!$A:$G,7,0),0),0)+IF(AA153&lt;&gt;"",AB153*IFERROR(VLOOKUP(AA153,'DATOS COSTES POLIAMIDAS'!$A:$G,7,0),0),0)+IF(AC153&lt;&gt;"",AD153*IFERROR(VLOOKUP(AC153,'DATOS COSTES POLIAMIDAS'!$A:$G,7,0),0),0)+IF(AE153&lt;&gt;"",IFERROR(VLOOKUP(AE153,'DATOS COSTES MECANIZADOS'!$A:$F,6,0),0),0),4))</f>
        <v/>
      </c>
      <c r="AZ153" s="18" t="str">
        <f>IF($A153="","",ROUND(AY153+R153*CONFIGURACION!$B$6,4))</f>
        <v/>
      </c>
      <c r="BA153" s="18" t="str">
        <f>IF($A153="","",ROUND(AY153+R153*CONFIGURACION!$B$7,4))</f>
        <v/>
      </c>
      <c r="BB153" s="18" t="str">
        <f>IF($A153="","",ROUND(AY153+R153*CONFIGURACION!$B$5,4))</f>
        <v/>
      </c>
      <c r="BC153" s="18" t="str">
        <f>IF($A153="","",ROUND(AY153+R153*CONFIGURACION!$B$10+R153*T153*CONFIGURACION!$B$11,4))</f>
        <v/>
      </c>
      <c r="BD153" s="18" t="str">
        <f>IF($A153="","",ROUND(AY153+R153*CONFIGURACION!$B$8,4))</f>
        <v/>
      </c>
      <c r="BE153" s="18" t="str">
        <f>IF($A153="","",ROUND(AY153+R153*CONFIGURACION!$B$9,4))</f>
        <v/>
      </c>
      <c r="BF153" s="18" t="str">
        <f>IF($A153="","",ROUND(AY153+R153*CONFIGURACION!$B$13,4))</f>
        <v/>
      </c>
      <c r="BG153" s="18" t="str">
        <f>IF($A153="","",ROUND(AY153+R153*CONFIGURACION!$B$12,4))</f>
        <v/>
      </c>
      <c r="BH153" s="18" t="str">
        <f t="shared" si="46"/>
        <v/>
      </c>
      <c r="BI153" s="18" t="str">
        <f t="shared" si="47"/>
        <v/>
      </c>
      <c r="BJ153" s="18" t="str">
        <f t="shared" si="48"/>
        <v/>
      </c>
      <c r="BK153" s="18" t="str">
        <f t="shared" si="49"/>
        <v/>
      </c>
      <c r="BL153" s="18" t="str">
        <f t="shared" si="50"/>
        <v/>
      </c>
      <c r="BM153" s="18" t="str">
        <f t="shared" si="51"/>
        <v/>
      </c>
      <c r="BN153" s="18" t="str">
        <f t="shared" si="52"/>
        <v/>
      </c>
      <c r="BO153" s="18" t="str">
        <f t="shared" si="53"/>
        <v/>
      </c>
      <c r="BP153" s="18" t="str">
        <f t="shared" si="54"/>
        <v/>
      </c>
      <c r="BQ153" s="16"/>
      <c r="BR153" s="16"/>
      <c r="BS153" s="17"/>
    </row>
    <row r="154" spans="1:71" ht="16.05" customHeight="1" x14ac:dyDescent="0.3">
      <c r="A154" s="16"/>
      <c r="B154" s="16"/>
      <c r="C154" s="17"/>
      <c r="D154" s="17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7" t="str">
        <f t="shared" si="44"/>
        <v/>
      </c>
      <c r="V154" s="17" t="str">
        <f t="shared" si="45"/>
        <v/>
      </c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8" t="str">
        <f>IF($A154="","",ROUND(P154*CONFIGURACION!$B$2+IF(W154&lt;&gt;"",X154*IFERROR(VLOOKUP(W154,'DATOS COSTES POLIAMIDAS'!$A:$G,7,0),0),0)+IF(Y154&lt;&gt;"",Z154*IFERROR(VLOOKUP(Y154,'DATOS COSTES POLIAMIDAS'!$A:$G,7,0),0),0)+IF(AA154&lt;&gt;"",AB154*IFERROR(VLOOKUP(AA154,'DATOS COSTES POLIAMIDAS'!$A:$G,7,0),0),0)+IF(AC154&lt;&gt;"",AD154*IFERROR(VLOOKUP(AC154,'DATOS COSTES POLIAMIDAS'!$A:$G,7,0),0),0)+IF(AE154&lt;&gt;"",IFERROR(VLOOKUP(AE154,'DATOS COSTES MECANIZADOS'!$A:$F,6,0),0),0),4))</f>
        <v/>
      </c>
      <c r="AZ154" s="18" t="str">
        <f>IF($A154="","",ROUND(AY154+R154*CONFIGURACION!$B$6,4))</f>
        <v/>
      </c>
      <c r="BA154" s="18" t="str">
        <f>IF($A154="","",ROUND(AY154+R154*CONFIGURACION!$B$7,4))</f>
        <v/>
      </c>
      <c r="BB154" s="18" t="str">
        <f>IF($A154="","",ROUND(AY154+R154*CONFIGURACION!$B$5,4))</f>
        <v/>
      </c>
      <c r="BC154" s="18" t="str">
        <f>IF($A154="","",ROUND(AY154+R154*CONFIGURACION!$B$10+R154*T154*CONFIGURACION!$B$11,4))</f>
        <v/>
      </c>
      <c r="BD154" s="18" t="str">
        <f>IF($A154="","",ROUND(AY154+R154*CONFIGURACION!$B$8,4))</f>
        <v/>
      </c>
      <c r="BE154" s="18" t="str">
        <f>IF($A154="","",ROUND(AY154+R154*CONFIGURACION!$B$9,4))</f>
        <v/>
      </c>
      <c r="BF154" s="18" t="str">
        <f>IF($A154="","",ROUND(AY154+R154*CONFIGURACION!$B$13,4))</f>
        <v/>
      </c>
      <c r="BG154" s="18" t="str">
        <f>IF($A154="","",ROUND(AY154+R154*CONFIGURACION!$B$12,4))</f>
        <v/>
      </c>
      <c r="BH154" s="18" t="str">
        <f t="shared" si="46"/>
        <v/>
      </c>
      <c r="BI154" s="18" t="str">
        <f t="shared" si="47"/>
        <v/>
      </c>
      <c r="BJ154" s="18" t="str">
        <f t="shared" si="48"/>
        <v/>
      </c>
      <c r="BK154" s="18" t="str">
        <f t="shared" si="49"/>
        <v/>
      </c>
      <c r="BL154" s="18" t="str">
        <f t="shared" si="50"/>
        <v/>
      </c>
      <c r="BM154" s="18" t="str">
        <f t="shared" si="51"/>
        <v/>
      </c>
      <c r="BN154" s="18" t="str">
        <f t="shared" si="52"/>
        <v/>
      </c>
      <c r="BO154" s="18" t="str">
        <f t="shared" si="53"/>
        <v/>
      </c>
      <c r="BP154" s="18" t="str">
        <f t="shared" si="54"/>
        <v/>
      </c>
      <c r="BQ154" s="16"/>
      <c r="BR154" s="16"/>
      <c r="BS154" s="17"/>
    </row>
    <row r="155" spans="1:71" ht="16.05" customHeight="1" x14ac:dyDescent="0.3">
      <c r="A155" s="16"/>
      <c r="B155" s="16"/>
      <c r="C155" s="17"/>
      <c r="D155" s="17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7" t="str">
        <f t="shared" si="44"/>
        <v/>
      </c>
      <c r="V155" s="17" t="str">
        <f t="shared" si="45"/>
        <v/>
      </c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8" t="str">
        <f>IF($A155="","",ROUND(P155*CONFIGURACION!$B$2+IF(W155&lt;&gt;"",X155*IFERROR(VLOOKUP(W155,'DATOS COSTES POLIAMIDAS'!$A:$G,7,0),0),0)+IF(Y155&lt;&gt;"",Z155*IFERROR(VLOOKUP(Y155,'DATOS COSTES POLIAMIDAS'!$A:$G,7,0),0),0)+IF(AA155&lt;&gt;"",AB155*IFERROR(VLOOKUP(AA155,'DATOS COSTES POLIAMIDAS'!$A:$G,7,0),0),0)+IF(AC155&lt;&gt;"",AD155*IFERROR(VLOOKUP(AC155,'DATOS COSTES POLIAMIDAS'!$A:$G,7,0),0),0)+IF(AE155&lt;&gt;"",IFERROR(VLOOKUP(AE155,'DATOS COSTES MECANIZADOS'!$A:$F,6,0),0),0),4))</f>
        <v/>
      </c>
      <c r="AZ155" s="18" t="str">
        <f>IF($A155="","",ROUND(AY155+R155*CONFIGURACION!$B$6,4))</f>
        <v/>
      </c>
      <c r="BA155" s="18" t="str">
        <f>IF($A155="","",ROUND(AY155+R155*CONFIGURACION!$B$7,4))</f>
        <v/>
      </c>
      <c r="BB155" s="18" t="str">
        <f>IF($A155="","",ROUND(AY155+R155*CONFIGURACION!$B$5,4))</f>
        <v/>
      </c>
      <c r="BC155" s="18" t="str">
        <f>IF($A155="","",ROUND(AY155+R155*CONFIGURACION!$B$10+R155*T155*CONFIGURACION!$B$11,4))</f>
        <v/>
      </c>
      <c r="BD155" s="18" t="str">
        <f>IF($A155="","",ROUND(AY155+R155*CONFIGURACION!$B$8,4))</f>
        <v/>
      </c>
      <c r="BE155" s="18" t="str">
        <f>IF($A155="","",ROUND(AY155+R155*CONFIGURACION!$B$9,4))</f>
        <v/>
      </c>
      <c r="BF155" s="18" t="str">
        <f>IF($A155="","",ROUND(AY155+R155*CONFIGURACION!$B$13,4))</f>
        <v/>
      </c>
      <c r="BG155" s="18" t="str">
        <f>IF($A155="","",ROUND(AY155+R155*CONFIGURACION!$B$12,4))</f>
        <v/>
      </c>
      <c r="BH155" s="18" t="str">
        <f t="shared" si="46"/>
        <v/>
      </c>
      <c r="BI155" s="18" t="str">
        <f t="shared" si="47"/>
        <v/>
      </c>
      <c r="BJ155" s="18" t="str">
        <f t="shared" si="48"/>
        <v/>
      </c>
      <c r="BK155" s="18" t="str">
        <f t="shared" si="49"/>
        <v/>
      </c>
      <c r="BL155" s="18" t="str">
        <f t="shared" si="50"/>
        <v/>
      </c>
      <c r="BM155" s="18" t="str">
        <f t="shared" si="51"/>
        <v/>
      </c>
      <c r="BN155" s="18" t="str">
        <f t="shared" si="52"/>
        <v/>
      </c>
      <c r="BO155" s="18" t="str">
        <f t="shared" si="53"/>
        <v/>
      </c>
      <c r="BP155" s="18" t="str">
        <f t="shared" si="54"/>
        <v/>
      </c>
      <c r="BQ155" s="16"/>
      <c r="BR155" s="16"/>
      <c r="BS155" s="17"/>
    </row>
    <row r="156" spans="1:71" ht="16.05" customHeight="1" x14ac:dyDescent="0.3">
      <c r="A156" s="16"/>
      <c r="B156" s="16"/>
      <c r="C156" s="17"/>
      <c r="D156" s="17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7" t="str">
        <f t="shared" si="44"/>
        <v/>
      </c>
      <c r="V156" s="17" t="str">
        <f t="shared" si="45"/>
        <v/>
      </c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8" t="str">
        <f>IF($A156="","",ROUND(P156*CONFIGURACION!$B$2+IF(W156&lt;&gt;"",X156*IFERROR(VLOOKUP(W156,'DATOS COSTES POLIAMIDAS'!$A:$G,7,0),0),0)+IF(Y156&lt;&gt;"",Z156*IFERROR(VLOOKUP(Y156,'DATOS COSTES POLIAMIDAS'!$A:$G,7,0),0),0)+IF(AA156&lt;&gt;"",AB156*IFERROR(VLOOKUP(AA156,'DATOS COSTES POLIAMIDAS'!$A:$G,7,0),0),0)+IF(AC156&lt;&gt;"",AD156*IFERROR(VLOOKUP(AC156,'DATOS COSTES POLIAMIDAS'!$A:$G,7,0),0),0)+IF(AE156&lt;&gt;"",IFERROR(VLOOKUP(AE156,'DATOS COSTES MECANIZADOS'!$A:$F,6,0),0),0),4))</f>
        <v/>
      </c>
      <c r="AZ156" s="18" t="str">
        <f>IF($A156="","",ROUND(AY156+R156*CONFIGURACION!$B$6,4))</f>
        <v/>
      </c>
      <c r="BA156" s="18" t="str">
        <f>IF($A156="","",ROUND(AY156+R156*CONFIGURACION!$B$7,4))</f>
        <v/>
      </c>
      <c r="BB156" s="18" t="str">
        <f>IF($A156="","",ROUND(AY156+R156*CONFIGURACION!$B$5,4))</f>
        <v/>
      </c>
      <c r="BC156" s="18" t="str">
        <f>IF($A156="","",ROUND(AY156+R156*CONFIGURACION!$B$10+R156*T156*CONFIGURACION!$B$11,4))</f>
        <v/>
      </c>
      <c r="BD156" s="18" t="str">
        <f>IF($A156="","",ROUND(AY156+R156*CONFIGURACION!$B$8,4))</f>
        <v/>
      </c>
      <c r="BE156" s="18" t="str">
        <f>IF($A156="","",ROUND(AY156+R156*CONFIGURACION!$B$9,4))</f>
        <v/>
      </c>
      <c r="BF156" s="18" t="str">
        <f>IF($A156="","",ROUND(AY156+R156*CONFIGURACION!$B$13,4))</f>
        <v/>
      </c>
      <c r="BG156" s="18" t="str">
        <f>IF($A156="","",ROUND(AY156+R156*CONFIGURACION!$B$12,4))</f>
        <v/>
      </c>
      <c r="BH156" s="18" t="str">
        <f t="shared" si="46"/>
        <v/>
      </c>
      <c r="BI156" s="18" t="str">
        <f t="shared" si="47"/>
        <v/>
      </c>
      <c r="BJ156" s="18" t="str">
        <f t="shared" si="48"/>
        <v/>
      </c>
      <c r="BK156" s="18" t="str">
        <f t="shared" si="49"/>
        <v/>
      </c>
      <c r="BL156" s="18" t="str">
        <f t="shared" si="50"/>
        <v/>
      </c>
      <c r="BM156" s="18" t="str">
        <f t="shared" si="51"/>
        <v/>
      </c>
      <c r="BN156" s="18" t="str">
        <f t="shared" si="52"/>
        <v/>
      </c>
      <c r="BO156" s="18" t="str">
        <f t="shared" si="53"/>
        <v/>
      </c>
      <c r="BP156" s="18" t="str">
        <f t="shared" si="54"/>
        <v/>
      </c>
      <c r="BQ156" s="16"/>
      <c r="BR156" s="16"/>
      <c r="BS156" s="17"/>
    </row>
    <row r="157" spans="1:71" ht="16.05" customHeight="1" x14ac:dyDescent="0.3">
      <c r="A157" s="16"/>
      <c r="B157" s="16"/>
      <c r="C157" s="17"/>
      <c r="D157" s="17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7" t="str">
        <f t="shared" si="44"/>
        <v/>
      </c>
      <c r="V157" s="17" t="str">
        <f t="shared" si="45"/>
        <v/>
      </c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8" t="str">
        <f>IF($A157="","",ROUND(P157*CONFIGURACION!$B$2+IF(W157&lt;&gt;"",X157*IFERROR(VLOOKUP(W157,'DATOS COSTES POLIAMIDAS'!$A:$G,7,0),0),0)+IF(Y157&lt;&gt;"",Z157*IFERROR(VLOOKUP(Y157,'DATOS COSTES POLIAMIDAS'!$A:$G,7,0),0),0)+IF(AA157&lt;&gt;"",AB157*IFERROR(VLOOKUP(AA157,'DATOS COSTES POLIAMIDAS'!$A:$G,7,0),0),0)+IF(AC157&lt;&gt;"",AD157*IFERROR(VLOOKUP(AC157,'DATOS COSTES POLIAMIDAS'!$A:$G,7,0),0),0)+IF(AE157&lt;&gt;"",IFERROR(VLOOKUP(AE157,'DATOS COSTES MECANIZADOS'!$A:$F,6,0),0),0),4))</f>
        <v/>
      </c>
      <c r="AZ157" s="18" t="str">
        <f>IF($A157="","",ROUND(AY157+R157*CONFIGURACION!$B$6,4))</f>
        <v/>
      </c>
      <c r="BA157" s="18" t="str">
        <f>IF($A157="","",ROUND(AY157+R157*CONFIGURACION!$B$7,4))</f>
        <v/>
      </c>
      <c r="BB157" s="18" t="str">
        <f>IF($A157="","",ROUND(AY157+R157*CONFIGURACION!$B$5,4))</f>
        <v/>
      </c>
      <c r="BC157" s="18" t="str">
        <f>IF($A157="","",ROUND(AY157+R157*CONFIGURACION!$B$10+R157*T157*CONFIGURACION!$B$11,4))</f>
        <v/>
      </c>
      <c r="BD157" s="18" t="str">
        <f>IF($A157="","",ROUND(AY157+R157*CONFIGURACION!$B$8,4))</f>
        <v/>
      </c>
      <c r="BE157" s="18" t="str">
        <f>IF($A157="","",ROUND(AY157+R157*CONFIGURACION!$B$9,4))</f>
        <v/>
      </c>
      <c r="BF157" s="18" t="str">
        <f>IF($A157="","",ROUND(AY157+R157*CONFIGURACION!$B$13,4))</f>
        <v/>
      </c>
      <c r="BG157" s="18" t="str">
        <f>IF($A157="","",ROUND(AY157+R157*CONFIGURACION!$B$12,4))</f>
        <v/>
      </c>
      <c r="BH157" s="18" t="str">
        <f t="shared" si="46"/>
        <v/>
      </c>
      <c r="BI157" s="18" t="str">
        <f t="shared" si="47"/>
        <v/>
      </c>
      <c r="BJ157" s="18" t="str">
        <f t="shared" si="48"/>
        <v/>
      </c>
      <c r="BK157" s="18" t="str">
        <f t="shared" si="49"/>
        <v/>
      </c>
      <c r="BL157" s="18" t="str">
        <f t="shared" si="50"/>
        <v/>
      </c>
      <c r="BM157" s="18" t="str">
        <f t="shared" si="51"/>
        <v/>
      </c>
      <c r="BN157" s="18" t="str">
        <f t="shared" si="52"/>
        <v/>
      </c>
      <c r="BO157" s="18" t="str">
        <f t="shared" si="53"/>
        <v/>
      </c>
      <c r="BP157" s="18" t="str">
        <f t="shared" si="54"/>
        <v/>
      </c>
      <c r="BQ157" s="16"/>
      <c r="BR157" s="16"/>
      <c r="BS157" s="17"/>
    </row>
    <row r="158" spans="1:71" ht="16.05" customHeight="1" x14ac:dyDescent="0.3">
      <c r="A158" s="16"/>
      <c r="B158" s="16"/>
      <c r="C158" s="17"/>
      <c r="D158" s="17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7" t="str">
        <f t="shared" si="44"/>
        <v/>
      </c>
      <c r="V158" s="17" t="str">
        <f t="shared" si="45"/>
        <v/>
      </c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8" t="str">
        <f>IF($A158="","",ROUND(P158*CONFIGURACION!$B$2+IF(W158&lt;&gt;"",X158*IFERROR(VLOOKUP(W158,'DATOS COSTES POLIAMIDAS'!$A:$G,7,0),0),0)+IF(Y158&lt;&gt;"",Z158*IFERROR(VLOOKUP(Y158,'DATOS COSTES POLIAMIDAS'!$A:$G,7,0),0),0)+IF(AA158&lt;&gt;"",AB158*IFERROR(VLOOKUP(AA158,'DATOS COSTES POLIAMIDAS'!$A:$G,7,0),0),0)+IF(AC158&lt;&gt;"",AD158*IFERROR(VLOOKUP(AC158,'DATOS COSTES POLIAMIDAS'!$A:$G,7,0),0),0)+IF(AE158&lt;&gt;"",IFERROR(VLOOKUP(AE158,'DATOS COSTES MECANIZADOS'!$A:$F,6,0),0),0),4))</f>
        <v/>
      </c>
      <c r="AZ158" s="18" t="str">
        <f>IF($A158="","",ROUND(AY158+R158*CONFIGURACION!$B$6,4))</f>
        <v/>
      </c>
      <c r="BA158" s="18" t="str">
        <f>IF($A158="","",ROUND(AY158+R158*CONFIGURACION!$B$7,4))</f>
        <v/>
      </c>
      <c r="BB158" s="18" t="str">
        <f>IF($A158="","",ROUND(AY158+R158*CONFIGURACION!$B$5,4))</f>
        <v/>
      </c>
      <c r="BC158" s="18" t="str">
        <f>IF($A158="","",ROUND(AY158+R158*CONFIGURACION!$B$10+R158*T158*CONFIGURACION!$B$11,4))</f>
        <v/>
      </c>
      <c r="BD158" s="18" t="str">
        <f>IF($A158="","",ROUND(AY158+R158*CONFIGURACION!$B$8,4))</f>
        <v/>
      </c>
      <c r="BE158" s="18" t="str">
        <f>IF($A158="","",ROUND(AY158+R158*CONFIGURACION!$B$9,4))</f>
        <v/>
      </c>
      <c r="BF158" s="18" t="str">
        <f>IF($A158="","",ROUND(AY158+R158*CONFIGURACION!$B$13,4))</f>
        <v/>
      </c>
      <c r="BG158" s="18" t="str">
        <f>IF($A158="","",ROUND(AY158+R158*CONFIGURACION!$B$12,4))</f>
        <v/>
      </c>
      <c r="BH158" s="18" t="str">
        <f t="shared" si="46"/>
        <v/>
      </c>
      <c r="BI158" s="18" t="str">
        <f t="shared" si="47"/>
        <v/>
      </c>
      <c r="BJ158" s="18" t="str">
        <f t="shared" si="48"/>
        <v/>
      </c>
      <c r="BK158" s="18" t="str">
        <f t="shared" si="49"/>
        <v/>
      </c>
      <c r="BL158" s="18" t="str">
        <f t="shared" si="50"/>
        <v/>
      </c>
      <c r="BM158" s="18" t="str">
        <f t="shared" si="51"/>
        <v/>
      </c>
      <c r="BN158" s="18" t="str">
        <f t="shared" si="52"/>
        <v/>
      </c>
      <c r="BO158" s="18" t="str">
        <f t="shared" si="53"/>
        <v/>
      </c>
      <c r="BP158" s="18" t="str">
        <f t="shared" si="54"/>
        <v/>
      </c>
      <c r="BQ158" s="16"/>
      <c r="BR158" s="16"/>
      <c r="BS158" s="17"/>
    </row>
    <row r="159" spans="1:71" ht="16.05" customHeight="1" x14ac:dyDescent="0.3">
      <c r="A159" s="16"/>
      <c r="B159" s="16"/>
      <c r="C159" s="17"/>
      <c r="D159" s="17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7" t="str">
        <f t="shared" si="44"/>
        <v/>
      </c>
      <c r="V159" s="17" t="str">
        <f t="shared" si="45"/>
        <v/>
      </c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8" t="str">
        <f>IF($A159="","",ROUND(P159*CONFIGURACION!$B$2+IF(W159&lt;&gt;"",X159*IFERROR(VLOOKUP(W159,'DATOS COSTES POLIAMIDAS'!$A:$G,7,0),0),0)+IF(Y159&lt;&gt;"",Z159*IFERROR(VLOOKUP(Y159,'DATOS COSTES POLIAMIDAS'!$A:$G,7,0),0),0)+IF(AA159&lt;&gt;"",AB159*IFERROR(VLOOKUP(AA159,'DATOS COSTES POLIAMIDAS'!$A:$G,7,0),0),0)+IF(AC159&lt;&gt;"",AD159*IFERROR(VLOOKUP(AC159,'DATOS COSTES POLIAMIDAS'!$A:$G,7,0),0),0)+IF(AE159&lt;&gt;"",IFERROR(VLOOKUP(AE159,'DATOS COSTES MECANIZADOS'!$A:$F,6,0),0),0),4))</f>
        <v/>
      </c>
      <c r="AZ159" s="18" t="str">
        <f>IF($A159="","",ROUND(AY159+R159*CONFIGURACION!$B$6,4))</f>
        <v/>
      </c>
      <c r="BA159" s="18" t="str">
        <f>IF($A159="","",ROUND(AY159+R159*CONFIGURACION!$B$7,4))</f>
        <v/>
      </c>
      <c r="BB159" s="18" t="str">
        <f>IF($A159="","",ROUND(AY159+R159*CONFIGURACION!$B$5,4))</f>
        <v/>
      </c>
      <c r="BC159" s="18" t="str">
        <f>IF($A159="","",ROUND(AY159+R159*CONFIGURACION!$B$10+R159*T159*CONFIGURACION!$B$11,4))</f>
        <v/>
      </c>
      <c r="BD159" s="18" t="str">
        <f>IF($A159="","",ROUND(AY159+R159*CONFIGURACION!$B$8,4))</f>
        <v/>
      </c>
      <c r="BE159" s="18" t="str">
        <f>IF($A159="","",ROUND(AY159+R159*CONFIGURACION!$B$9,4))</f>
        <v/>
      </c>
      <c r="BF159" s="18" t="str">
        <f>IF($A159="","",ROUND(AY159+R159*CONFIGURACION!$B$13,4))</f>
        <v/>
      </c>
      <c r="BG159" s="18" t="str">
        <f>IF($A159="","",ROUND(AY159+R159*CONFIGURACION!$B$12,4))</f>
        <v/>
      </c>
      <c r="BH159" s="18" t="str">
        <f t="shared" si="46"/>
        <v/>
      </c>
      <c r="BI159" s="18" t="str">
        <f t="shared" si="47"/>
        <v/>
      </c>
      <c r="BJ159" s="18" t="str">
        <f t="shared" si="48"/>
        <v/>
      </c>
      <c r="BK159" s="18" t="str">
        <f t="shared" si="49"/>
        <v/>
      </c>
      <c r="BL159" s="18" t="str">
        <f t="shared" si="50"/>
        <v/>
      </c>
      <c r="BM159" s="18" t="str">
        <f t="shared" si="51"/>
        <v/>
      </c>
      <c r="BN159" s="18" t="str">
        <f t="shared" si="52"/>
        <v/>
      </c>
      <c r="BO159" s="18" t="str">
        <f t="shared" si="53"/>
        <v/>
      </c>
      <c r="BP159" s="18" t="str">
        <f t="shared" si="54"/>
        <v/>
      </c>
      <c r="BQ159" s="16"/>
      <c r="BR159" s="16"/>
      <c r="BS159" s="17"/>
    </row>
    <row r="160" spans="1:71" ht="16.05" customHeight="1" x14ac:dyDescent="0.3">
      <c r="A160" s="16"/>
      <c r="B160" s="16"/>
      <c r="C160" s="17"/>
      <c r="D160" s="17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7" t="str">
        <f t="shared" si="44"/>
        <v/>
      </c>
      <c r="V160" s="17" t="str">
        <f t="shared" si="45"/>
        <v/>
      </c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8" t="str">
        <f>IF($A160="","",ROUND(P160*CONFIGURACION!$B$2+IF(W160&lt;&gt;"",X160*IFERROR(VLOOKUP(W160,'DATOS COSTES POLIAMIDAS'!$A:$G,7,0),0),0)+IF(Y160&lt;&gt;"",Z160*IFERROR(VLOOKUP(Y160,'DATOS COSTES POLIAMIDAS'!$A:$G,7,0),0),0)+IF(AA160&lt;&gt;"",AB160*IFERROR(VLOOKUP(AA160,'DATOS COSTES POLIAMIDAS'!$A:$G,7,0),0),0)+IF(AC160&lt;&gt;"",AD160*IFERROR(VLOOKUP(AC160,'DATOS COSTES POLIAMIDAS'!$A:$G,7,0),0),0)+IF(AE160&lt;&gt;"",IFERROR(VLOOKUP(AE160,'DATOS COSTES MECANIZADOS'!$A:$F,6,0),0),0),4))</f>
        <v/>
      </c>
      <c r="AZ160" s="18" t="str">
        <f>IF($A160="","",ROUND(AY160+R160*CONFIGURACION!$B$6,4))</f>
        <v/>
      </c>
      <c r="BA160" s="18" t="str">
        <f>IF($A160="","",ROUND(AY160+R160*CONFIGURACION!$B$7,4))</f>
        <v/>
      </c>
      <c r="BB160" s="18" t="str">
        <f>IF($A160="","",ROUND(AY160+R160*CONFIGURACION!$B$5,4))</f>
        <v/>
      </c>
      <c r="BC160" s="18" t="str">
        <f>IF($A160="","",ROUND(AY160+R160*CONFIGURACION!$B$10+R160*T160*CONFIGURACION!$B$11,4))</f>
        <v/>
      </c>
      <c r="BD160" s="18" t="str">
        <f>IF($A160="","",ROUND(AY160+R160*CONFIGURACION!$B$8,4))</f>
        <v/>
      </c>
      <c r="BE160" s="18" t="str">
        <f>IF($A160="","",ROUND(AY160+R160*CONFIGURACION!$B$9,4))</f>
        <v/>
      </c>
      <c r="BF160" s="18" t="str">
        <f>IF($A160="","",ROUND(AY160+R160*CONFIGURACION!$B$13,4))</f>
        <v/>
      </c>
      <c r="BG160" s="18" t="str">
        <f>IF($A160="","",ROUND(AY160+R160*CONFIGURACION!$B$12,4))</f>
        <v/>
      </c>
      <c r="BH160" s="18" t="str">
        <f t="shared" si="46"/>
        <v/>
      </c>
      <c r="BI160" s="18" t="str">
        <f t="shared" si="47"/>
        <v/>
      </c>
      <c r="BJ160" s="18" t="str">
        <f t="shared" si="48"/>
        <v/>
      </c>
      <c r="BK160" s="18" t="str">
        <f t="shared" si="49"/>
        <v/>
      </c>
      <c r="BL160" s="18" t="str">
        <f t="shared" si="50"/>
        <v/>
      </c>
      <c r="BM160" s="18" t="str">
        <f t="shared" si="51"/>
        <v/>
      </c>
      <c r="BN160" s="18" t="str">
        <f t="shared" si="52"/>
        <v/>
      </c>
      <c r="BO160" s="18" t="str">
        <f t="shared" si="53"/>
        <v/>
      </c>
      <c r="BP160" s="18" t="str">
        <f t="shared" si="54"/>
        <v/>
      </c>
      <c r="BQ160" s="16"/>
      <c r="BR160" s="16"/>
      <c r="BS160" s="17"/>
    </row>
    <row r="161" spans="1:71" ht="16.05" customHeight="1" x14ac:dyDescent="0.3">
      <c r="A161" s="16"/>
      <c r="B161" s="16"/>
      <c r="C161" s="17"/>
      <c r="D161" s="17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7" t="str">
        <f t="shared" si="44"/>
        <v/>
      </c>
      <c r="V161" s="17" t="str">
        <f t="shared" si="45"/>
        <v/>
      </c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8" t="str">
        <f>IF($A161="","",ROUND(P161*CONFIGURACION!$B$2+IF(W161&lt;&gt;"",X161*IFERROR(VLOOKUP(W161,'DATOS COSTES POLIAMIDAS'!$A:$G,7,0),0),0)+IF(Y161&lt;&gt;"",Z161*IFERROR(VLOOKUP(Y161,'DATOS COSTES POLIAMIDAS'!$A:$G,7,0),0),0)+IF(AA161&lt;&gt;"",AB161*IFERROR(VLOOKUP(AA161,'DATOS COSTES POLIAMIDAS'!$A:$G,7,0),0),0)+IF(AC161&lt;&gt;"",AD161*IFERROR(VLOOKUP(AC161,'DATOS COSTES POLIAMIDAS'!$A:$G,7,0),0),0)+IF(AE161&lt;&gt;"",IFERROR(VLOOKUP(AE161,'DATOS COSTES MECANIZADOS'!$A:$F,6,0),0),0),4))</f>
        <v/>
      </c>
      <c r="AZ161" s="18" t="str">
        <f>IF($A161="","",ROUND(AY161+R161*CONFIGURACION!$B$6,4))</f>
        <v/>
      </c>
      <c r="BA161" s="18" t="str">
        <f>IF($A161="","",ROUND(AY161+R161*CONFIGURACION!$B$7,4))</f>
        <v/>
      </c>
      <c r="BB161" s="18" t="str">
        <f>IF($A161="","",ROUND(AY161+R161*CONFIGURACION!$B$5,4))</f>
        <v/>
      </c>
      <c r="BC161" s="18" t="str">
        <f>IF($A161="","",ROUND(AY161+R161*CONFIGURACION!$B$10+R161*T161*CONFIGURACION!$B$11,4))</f>
        <v/>
      </c>
      <c r="BD161" s="18" t="str">
        <f>IF($A161="","",ROUND(AY161+R161*CONFIGURACION!$B$8,4))</f>
        <v/>
      </c>
      <c r="BE161" s="18" t="str">
        <f>IF($A161="","",ROUND(AY161+R161*CONFIGURACION!$B$9,4))</f>
        <v/>
      </c>
      <c r="BF161" s="18" t="str">
        <f>IF($A161="","",ROUND(AY161+R161*CONFIGURACION!$B$13,4))</f>
        <v/>
      </c>
      <c r="BG161" s="18" t="str">
        <f>IF($A161="","",ROUND(AY161+R161*CONFIGURACION!$B$12,4))</f>
        <v/>
      </c>
      <c r="BH161" s="18" t="str">
        <f t="shared" si="46"/>
        <v/>
      </c>
      <c r="BI161" s="18" t="str">
        <f t="shared" si="47"/>
        <v/>
      </c>
      <c r="BJ161" s="18" t="str">
        <f t="shared" si="48"/>
        <v/>
      </c>
      <c r="BK161" s="18" t="str">
        <f t="shared" si="49"/>
        <v/>
      </c>
      <c r="BL161" s="18" t="str">
        <f t="shared" si="50"/>
        <v/>
      </c>
      <c r="BM161" s="18" t="str">
        <f t="shared" si="51"/>
        <v/>
      </c>
      <c r="BN161" s="18" t="str">
        <f t="shared" si="52"/>
        <v/>
      </c>
      <c r="BO161" s="18" t="str">
        <f t="shared" si="53"/>
        <v/>
      </c>
      <c r="BP161" s="18" t="str">
        <f t="shared" si="54"/>
        <v/>
      </c>
      <c r="BQ161" s="16"/>
      <c r="BR161" s="16"/>
      <c r="BS161" s="17"/>
    </row>
    <row r="162" spans="1:71" ht="16.05" customHeight="1" x14ac:dyDescent="0.3">
      <c r="A162" s="16"/>
      <c r="B162" s="16"/>
      <c r="C162" s="17"/>
      <c r="D162" s="17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7" t="str">
        <f t="shared" si="44"/>
        <v/>
      </c>
      <c r="V162" s="17" t="str">
        <f t="shared" si="45"/>
        <v/>
      </c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8" t="str">
        <f>IF($A162="","",ROUND(P162*CONFIGURACION!$B$2+IF(W162&lt;&gt;"",X162*IFERROR(VLOOKUP(W162,'DATOS COSTES POLIAMIDAS'!$A:$G,7,0),0),0)+IF(Y162&lt;&gt;"",Z162*IFERROR(VLOOKUP(Y162,'DATOS COSTES POLIAMIDAS'!$A:$G,7,0),0),0)+IF(AA162&lt;&gt;"",AB162*IFERROR(VLOOKUP(AA162,'DATOS COSTES POLIAMIDAS'!$A:$G,7,0),0),0)+IF(AC162&lt;&gt;"",AD162*IFERROR(VLOOKUP(AC162,'DATOS COSTES POLIAMIDAS'!$A:$G,7,0),0),0)+IF(AE162&lt;&gt;"",IFERROR(VLOOKUP(AE162,'DATOS COSTES MECANIZADOS'!$A:$F,6,0),0),0),4))</f>
        <v/>
      </c>
      <c r="AZ162" s="18" t="str">
        <f>IF($A162="","",ROUND(AY162+R162*CONFIGURACION!$B$6,4))</f>
        <v/>
      </c>
      <c r="BA162" s="18" t="str">
        <f>IF($A162="","",ROUND(AY162+R162*CONFIGURACION!$B$7,4))</f>
        <v/>
      </c>
      <c r="BB162" s="18" t="str">
        <f>IF($A162="","",ROUND(AY162+R162*CONFIGURACION!$B$5,4))</f>
        <v/>
      </c>
      <c r="BC162" s="18" t="str">
        <f>IF($A162="","",ROUND(AY162+R162*CONFIGURACION!$B$10+R162*T162*CONFIGURACION!$B$11,4))</f>
        <v/>
      </c>
      <c r="BD162" s="18" t="str">
        <f>IF($A162="","",ROUND(AY162+R162*CONFIGURACION!$B$8,4))</f>
        <v/>
      </c>
      <c r="BE162" s="18" t="str">
        <f>IF($A162="","",ROUND(AY162+R162*CONFIGURACION!$B$9,4))</f>
        <v/>
      </c>
      <c r="BF162" s="18" t="str">
        <f>IF($A162="","",ROUND(AY162+R162*CONFIGURACION!$B$13,4))</f>
        <v/>
      </c>
      <c r="BG162" s="18" t="str">
        <f>IF($A162="","",ROUND(AY162+R162*CONFIGURACION!$B$12,4))</f>
        <v/>
      </c>
      <c r="BH162" s="18" t="str">
        <f t="shared" si="46"/>
        <v/>
      </c>
      <c r="BI162" s="18" t="str">
        <f t="shared" si="47"/>
        <v/>
      </c>
      <c r="BJ162" s="18" t="str">
        <f t="shared" si="48"/>
        <v/>
      </c>
      <c r="BK162" s="18" t="str">
        <f t="shared" si="49"/>
        <v/>
      </c>
      <c r="BL162" s="18" t="str">
        <f t="shared" si="50"/>
        <v/>
      </c>
      <c r="BM162" s="18" t="str">
        <f t="shared" si="51"/>
        <v/>
      </c>
      <c r="BN162" s="18" t="str">
        <f t="shared" si="52"/>
        <v/>
      </c>
      <c r="BO162" s="18" t="str">
        <f t="shared" si="53"/>
        <v/>
      </c>
      <c r="BP162" s="18" t="str">
        <f t="shared" si="54"/>
        <v/>
      </c>
      <c r="BQ162" s="16"/>
      <c r="BR162" s="16"/>
      <c r="BS162" s="17"/>
    </row>
    <row r="163" spans="1:71" ht="16.05" customHeight="1" x14ac:dyDescent="0.3">
      <c r="A163" s="16"/>
      <c r="B163" s="16"/>
      <c r="C163" s="17"/>
      <c r="D163" s="17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7" t="str">
        <f t="shared" ref="U163:U194" si="55">IF($A163="","","X:\IMAGENES GEINPROD\"&amp;$A163&amp;".JPG")</f>
        <v/>
      </c>
      <c r="V163" s="17" t="str">
        <f t="shared" ref="V163:V194" si="56">IF($A163="","","X:\IMAGENES GEINPROD\PLANO ORIGINAL THERMIA\"&amp;$A163&amp;".pdf")</f>
        <v/>
      </c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8" t="str">
        <f>IF($A163="","",ROUND(P163*CONFIGURACION!$B$2+IF(W163&lt;&gt;"",X163*IFERROR(VLOOKUP(W163,'DATOS COSTES POLIAMIDAS'!$A:$G,7,0),0),0)+IF(Y163&lt;&gt;"",Z163*IFERROR(VLOOKUP(Y163,'DATOS COSTES POLIAMIDAS'!$A:$G,7,0),0),0)+IF(AA163&lt;&gt;"",AB163*IFERROR(VLOOKUP(AA163,'DATOS COSTES POLIAMIDAS'!$A:$G,7,0),0),0)+IF(AC163&lt;&gt;"",AD163*IFERROR(VLOOKUP(AC163,'DATOS COSTES POLIAMIDAS'!$A:$G,7,0),0),0)+IF(AE163&lt;&gt;"",IFERROR(VLOOKUP(AE163,'DATOS COSTES MECANIZADOS'!$A:$F,6,0),0),0),4))</f>
        <v/>
      </c>
      <c r="AZ163" s="18" t="str">
        <f>IF($A163="","",ROUND(AY163+R163*CONFIGURACION!$B$6,4))</f>
        <v/>
      </c>
      <c r="BA163" s="18" t="str">
        <f>IF($A163="","",ROUND(AY163+R163*CONFIGURACION!$B$7,4))</f>
        <v/>
      </c>
      <c r="BB163" s="18" t="str">
        <f>IF($A163="","",ROUND(AY163+R163*CONFIGURACION!$B$5,4))</f>
        <v/>
      </c>
      <c r="BC163" s="18" t="str">
        <f>IF($A163="","",ROUND(AY163+R163*CONFIGURACION!$B$10+R163*T163*CONFIGURACION!$B$11,4))</f>
        <v/>
      </c>
      <c r="BD163" s="18" t="str">
        <f>IF($A163="","",ROUND(AY163+R163*CONFIGURACION!$B$8,4))</f>
        <v/>
      </c>
      <c r="BE163" s="18" t="str">
        <f>IF($A163="","",ROUND(AY163+R163*CONFIGURACION!$B$9,4))</f>
        <v/>
      </c>
      <c r="BF163" s="18" t="str">
        <f>IF($A163="","",ROUND(AY163+R163*CONFIGURACION!$B$13,4))</f>
        <v/>
      </c>
      <c r="BG163" s="18" t="str">
        <f>IF($A163="","",ROUND(AY163+R163*CONFIGURACION!$B$12,4))</f>
        <v/>
      </c>
      <c r="BH163" s="18" t="str">
        <f t="shared" ref="BH163:BH194" si="57">IF($A163="","",IF(AP163="","",ROUND(AY163/AP163,4)))</f>
        <v/>
      </c>
      <c r="BI163" s="18" t="str">
        <f t="shared" ref="BI163:BI194" si="58">IF($A163="","",IF(AQ163="","",ROUND(AZ163/AQ163,4)))</f>
        <v/>
      </c>
      <c r="BJ163" s="18" t="str">
        <f t="shared" ref="BJ163:BJ194" si="59">IF($A163="","",IF(AR163="","",ROUND(BA163/AR163,4)))</f>
        <v/>
      </c>
      <c r="BK163" s="18" t="str">
        <f t="shared" ref="BK163:BK194" si="60">IF($A163="","",IF(AS163="","",ROUND(BB163/AS163,4)))</f>
        <v/>
      </c>
      <c r="BL163" s="18" t="str">
        <f t="shared" ref="BL163:BL194" si="61">IF($A163="","",IF(AT163="","",ROUND(BC163/AT163,4)))</f>
        <v/>
      </c>
      <c r="BM163" s="18" t="str">
        <f t="shared" ref="BM163:BM194" si="62">IF($A163="","",IF(AU163="","",ROUND(BD163/AU163,4)))</f>
        <v/>
      </c>
      <c r="BN163" s="18" t="str">
        <f t="shared" ref="BN163:BN194" si="63">IF($A163="","",IF(AV163="","",ROUND(BE163/AV163,4)))</f>
        <v/>
      </c>
      <c r="BO163" s="18" t="str">
        <f t="shared" ref="BO163:BO194" si="64">IF($A163="","",IF(AW163="","",ROUND(BF163/AW163,4)))</f>
        <v/>
      </c>
      <c r="BP163" s="18" t="str">
        <f t="shared" ref="BP163:BP194" si="65">IF($A163="","",IF(AX163="","",ROUND(BG163/AX163,4)))</f>
        <v/>
      </c>
      <c r="BQ163" s="16"/>
      <c r="BR163" s="16"/>
      <c r="BS163" s="17"/>
    </row>
    <row r="164" spans="1:71" ht="16.05" customHeight="1" x14ac:dyDescent="0.3">
      <c r="A164" s="16"/>
      <c r="B164" s="16"/>
      <c r="C164" s="17"/>
      <c r="D164" s="17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7" t="str">
        <f t="shared" si="55"/>
        <v/>
      </c>
      <c r="V164" s="17" t="str">
        <f t="shared" si="56"/>
        <v/>
      </c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8" t="str">
        <f>IF($A164="","",ROUND(P164*CONFIGURACION!$B$2+IF(W164&lt;&gt;"",X164*IFERROR(VLOOKUP(W164,'DATOS COSTES POLIAMIDAS'!$A:$G,7,0),0),0)+IF(Y164&lt;&gt;"",Z164*IFERROR(VLOOKUP(Y164,'DATOS COSTES POLIAMIDAS'!$A:$G,7,0),0),0)+IF(AA164&lt;&gt;"",AB164*IFERROR(VLOOKUP(AA164,'DATOS COSTES POLIAMIDAS'!$A:$G,7,0),0),0)+IF(AC164&lt;&gt;"",AD164*IFERROR(VLOOKUP(AC164,'DATOS COSTES POLIAMIDAS'!$A:$G,7,0),0),0)+IF(AE164&lt;&gt;"",IFERROR(VLOOKUP(AE164,'DATOS COSTES MECANIZADOS'!$A:$F,6,0),0),0),4))</f>
        <v/>
      </c>
      <c r="AZ164" s="18" t="str">
        <f>IF($A164="","",ROUND(AY164+R164*CONFIGURACION!$B$6,4))</f>
        <v/>
      </c>
      <c r="BA164" s="18" t="str">
        <f>IF($A164="","",ROUND(AY164+R164*CONFIGURACION!$B$7,4))</f>
        <v/>
      </c>
      <c r="BB164" s="18" t="str">
        <f>IF($A164="","",ROUND(AY164+R164*CONFIGURACION!$B$5,4))</f>
        <v/>
      </c>
      <c r="BC164" s="18" t="str">
        <f>IF($A164="","",ROUND(AY164+R164*CONFIGURACION!$B$10+R164*T164*CONFIGURACION!$B$11,4))</f>
        <v/>
      </c>
      <c r="BD164" s="18" t="str">
        <f>IF($A164="","",ROUND(AY164+R164*CONFIGURACION!$B$8,4))</f>
        <v/>
      </c>
      <c r="BE164" s="18" t="str">
        <f>IF($A164="","",ROUND(AY164+R164*CONFIGURACION!$B$9,4))</f>
        <v/>
      </c>
      <c r="BF164" s="18" t="str">
        <f>IF($A164="","",ROUND(AY164+R164*CONFIGURACION!$B$13,4))</f>
        <v/>
      </c>
      <c r="BG164" s="18" t="str">
        <f>IF($A164="","",ROUND(AY164+R164*CONFIGURACION!$B$12,4))</f>
        <v/>
      </c>
      <c r="BH164" s="18" t="str">
        <f t="shared" si="57"/>
        <v/>
      </c>
      <c r="BI164" s="18" t="str">
        <f t="shared" si="58"/>
        <v/>
      </c>
      <c r="BJ164" s="18" t="str">
        <f t="shared" si="59"/>
        <v/>
      </c>
      <c r="BK164" s="18" t="str">
        <f t="shared" si="60"/>
        <v/>
      </c>
      <c r="BL164" s="18" t="str">
        <f t="shared" si="61"/>
        <v/>
      </c>
      <c r="BM164" s="18" t="str">
        <f t="shared" si="62"/>
        <v/>
      </c>
      <c r="BN164" s="18" t="str">
        <f t="shared" si="63"/>
        <v/>
      </c>
      <c r="BO164" s="18" t="str">
        <f t="shared" si="64"/>
        <v/>
      </c>
      <c r="BP164" s="18" t="str">
        <f t="shared" si="65"/>
        <v/>
      </c>
      <c r="BQ164" s="16"/>
      <c r="BR164" s="16"/>
      <c r="BS164" s="17"/>
    </row>
    <row r="165" spans="1:71" ht="16.05" customHeight="1" x14ac:dyDescent="0.3">
      <c r="A165" s="16"/>
      <c r="B165" s="16"/>
      <c r="C165" s="17"/>
      <c r="D165" s="17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7" t="str">
        <f t="shared" si="55"/>
        <v/>
      </c>
      <c r="V165" s="17" t="str">
        <f t="shared" si="56"/>
        <v/>
      </c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8" t="str">
        <f>IF($A165="","",ROUND(P165*CONFIGURACION!$B$2+IF(W165&lt;&gt;"",X165*IFERROR(VLOOKUP(W165,'DATOS COSTES POLIAMIDAS'!$A:$G,7,0),0),0)+IF(Y165&lt;&gt;"",Z165*IFERROR(VLOOKUP(Y165,'DATOS COSTES POLIAMIDAS'!$A:$G,7,0),0),0)+IF(AA165&lt;&gt;"",AB165*IFERROR(VLOOKUP(AA165,'DATOS COSTES POLIAMIDAS'!$A:$G,7,0),0),0)+IF(AC165&lt;&gt;"",AD165*IFERROR(VLOOKUP(AC165,'DATOS COSTES POLIAMIDAS'!$A:$G,7,0),0),0)+IF(AE165&lt;&gt;"",IFERROR(VLOOKUP(AE165,'DATOS COSTES MECANIZADOS'!$A:$F,6,0),0),0),4))</f>
        <v/>
      </c>
      <c r="AZ165" s="18" t="str">
        <f>IF($A165="","",ROUND(AY165+R165*CONFIGURACION!$B$6,4))</f>
        <v/>
      </c>
      <c r="BA165" s="18" t="str">
        <f>IF($A165="","",ROUND(AY165+R165*CONFIGURACION!$B$7,4))</f>
        <v/>
      </c>
      <c r="BB165" s="18" t="str">
        <f>IF($A165="","",ROUND(AY165+R165*CONFIGURACION!$B$5,4))</f>
        <v/>
      </c>
      <c r="BC165" s="18" t="str">
        <f>IF($A165="","",ROUND(AY165+R165*CONFIGURACION!$B$10+R165*T165*CONFIGURACION!$B$11,4))</f>
        <v/>
      </c>
      <c r="BD165" s="18" t="str">
        <f>IF($A165="","",ROUND(AY165+R165*CONFIGURACION!$B$8,4))</f>
        <v/>
      </c>
      <c r="BE165" s="18" t="str">
        <f>IF($A165="","",ROUND(AY165+R165*CONFIGURACION!$B$9,4))</f>
        <v/>
      </c>
      <c r="BF165" s="18" t="str">
        <f>IF($A165="","",ROUND(AY165+R165*CONFIGURACION!$B$13,4))</f>
        <v/>
      </c>
      <c r="BG165" s="18" t="str">
        <f>IF($A165="","",ROUND(AY165+R165*CONFIGURACION!$B$12,4))</f>
        <v/>
      </c>
      <c r="BH165" s="18" t="str">
        <f t="shared" si="57"/>
        <v/>
      </c>
      <c r="BI165" s="18" t="str">
        <f t="shared" si="58"/>
        <v/>
      </c>
      <c r="BJ165" s="18" t="str">
        <f t="shared" si="59"/>
        <v/>
      </c>
      <c r="BK165" s="18" t="str">
        <f t="shared" si="60"/>
        <v/>
      </c>
      <c r="BL165" s="18" t="str">
        <f t="shared" si="61"/>
        <v/>
      </c>
      <c r="BM165" s="18" t="str">
        <f t="shared" si="62"/>
        <v/>
      </c>
      <c r="BN165" s="18" t="str">
        <f t="shared" si="63"/>
        <v/>
      </c>
      <c r="BO165" s="18" t="str">
        <f t="shared" si="64"/>
        <v/>
      </c>
      <c r="BP165" s="18" t="str">
        <f t="shared" si="65"/>
        <v/>
      </c>
      <c r="BQ165" s="16"/>
      <c r="BR165" s="16"/>
      <c r="BS165" s="17"/>
    </row>
    <row r="166" spans="1:71" ht="16.05" customHeight="1" x14ac:dyDescent="0.3">
      <c r="A166" s="16"/>
      <c r="B166" s="16"/>
      <c r="C166" s="17"/>
      <c r="D166" s="17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7" t="str">
        <f t="shared" si="55"/>
        <v/>
      </c>
      <c r="V166" s="17" t="str">
        <f t="shared" si="56"/>
        <v/>
      </c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8" t="str">
        <f>IF($A166="","",ROUND(P166*CONFIGURACION!$B$2+IF(W166&lt;&gt;"",X166*IFERROR(VLOOKUP(W166,'DATOS COSTES POLIAMIDAS'!$A:$G,7,0),0),0)+IF(Y166&lt;&gt;"",Z166*IFERROR(VLOOKUP(Y166,'DATOS COSTES POLIAMIDAS'!$A:$G,7,0),0),0)+IF(AA166&lt;&gt;"",AB166*IFERROR(VLOOKUP(AA166,'DATOS COSTES POLIAMIDAS'!$A:$G,7,0),0),0)+IF(AC166&lt;&gt;"",AD166*IFERROR(VLOOKUP(AC166,'DATOS COSTES POLIAMIDAS'!$A:$G,7,0),0),0)+IF(AE166&lt;&gt;"",IFERROR(VLOOKUP(AE166,'DATOS COSTES MECANIZADOS'!$A:$F,6,0),0),0),4))</f>
        <v/>
      </c>
      <c r="AZ166" s="18" t="str">
        <f>IF($A166="","",ROUND(AY166+R166*CONFIGURACION!$B$6,4))</f>
        <v/>
      </c>
      <c r="BA166" s="18" t="str">
        <f>IF($A166="","",ROUND(AY166+R166*CONFIGURACION!$B$7,4))</f>
        <v/>
      </c>
      <c r="BB166" s="18" t="str">
        <f>IF($A166="","",ROUND(AY166+R166*CONFIGURACION!$B$5,4))</f>
        <v/>
      </c>
      <c r="BC166" s="18" t="str">
        <f>IF($A166="","",ROUND(AY166+R166*CONFIGURACION!$B$10+R166*T166*CONFIGURACION!$B$11,4))</f>
        <v/>
      </c>
      <c r="BD166" s="18" t="str">
        <f>IF($A166="","",ROUND(AY166+R166*CONFIGURACION!$B$8,4))</f>
        <v/>
      </c>
      <c r="BE166" s="18" t="str">
        <f>IF($A166="","",ROUND(AY166+R166*CONFIGURACION!$B$9,4))</f>
        <v/>
      </c>
      <c r="BF166" s="18" t="str">
        <f>IF($A166="","",ROUND(AY166+R166*CONFIGURACION!$B$13,4))</f>
        <v/>
      </c>
      <c r="BG166" s="18" t="str">
        <f>IF($A166="","",ROUND(AY166+R166*CONFIGURACION!$B$12,4))</f>
        <v/>
      </c>
      <c r="BH166" s="18" t="str">
        <f t="shared" si="57"/>
        <v/>
      </c>
      <c r="BI166" s="18" t="str">
        <f t="shared" si="58"/>
        <v/>
      </c>
      <c r="BJ166" s="18" t="str">
        <f t="shared" si="59"/>
        <v/>
      </c>
      <c r="BK166" s="18" t="str">
        <f t="shared" si="60"/>
        <v/>
      </c>
      <c r="BL166" s="18" t="str">
        <f t="shared" si="61"/>
        <v/>
      </c>
      <c r="BM166" s="18" t="str">
        <f t="shared" si="62"/>
        <v/>
      </c>
      <c r="BN166" s="18" t="str">
        <f t="shared" si="63"/>
        <v/>
      </c>
      <c r="BO166" s="18" t="str">
        <f t="shared" si="64"/>
        <v/>
      </c>
      <c r="BP166" s="18" t="str">
        <f t="shared" si="65"/>
        <v/>
      </c>
      <c r="BQ166" s="16"/>
      <c r="BR166" s="16"/>
      <c r="BS166" s="17"/>
    </row>
    <row r="167" spans="1:71" ht="16.05" customHeight="1" x14ac:dyDescent="0.3">
      <c r="A167" s="16"/>
      <c r="B167" s="16"/>
      <c r="C167" s="17"/>
      <c r="D167" s="17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7" t="str">
        <f t="shared" si="55"/>
        <v/>
      </c>
      <c r="V167" s="17" t="str">
        <f t="shared" si="56"/>
        <v/>
      </c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8" t="str">
        <f>IF($A167="","",ROUND(P167*CONFIGURACION!$B$2+IF(W167&lt;&gt;"",X167*IFERROR(VLOOKUP(W167,'DATOS COSTES POLIAMIDAS'!$A:$G,7,0),0),0)+IF(Y167&lt;&gt;"",Z167*IFERROR(VLOOKUP(Y167,'DATOS COSTES POLIAMIDAS'!$A:$G,7,0),0),0)+IF(AA167&lt;&gt;"",AB167*IFERROR(VLOOKUP(AA167,'DATOS COSTES POLIAMIDAS'!$A:$G,7,0),0),0)+IF(AC167&lt;&gt;"",AD167*IFERROR(VLOOKUP(AC167,'DATOS COSTES POLIAMIDAS'!$A:$G,7,0),0),0)+IF(AE167&lt;&gt;"",IFERROR(VLOOKUP(AE167,'DATOS COSTES MECANIZADOS'!$A:$F,6,0),0),0),4))</f>
        <v/>
      </c>
      <c r="AZ167" s="18" t="str">
        <f>IF($A167="","",ROUND(AY167+R167*CONFIGURACION!$B$6,4))</f>
        <v/>
      </c>
      <c r="BA167" s="18" t="str">
        <f>IF($A167="","",ROUND(AY167+R167*CONFIGURACION!$B$7,4))</f>
        <v/>
      </c>
      <c r="BB167" s="18" t="str">
        <f>IF($A167="","",ROUND(AY167+R167*CONFIGURACION!$B$5,4))</f>
        <v/>
      </c>
      <c r="BC167" s="18" t="str">
        <f>IF($A167="","",ROUND(AY167+R167*CONFIGURACION!$B$10+R167*T167*CONFIGURACION!$B$11,4))</f>
        <v/>
      </c>
      <c r="BD167" s="18" t="str">
        <f>IF($A167="","",ROUND(AY167+R167*CONFIGURACION!$B$8,4))</f>
        <v/>
      </c>
      <c r="BE167" s="18" t="str">
        <f>IF($A167="","",ROUND(AY167+R167*CONFIGURACION!$B$9,4))</f>
        <v/>
      </c>
      <c r="BF167" s="18" t="str">
        <f>IF($A167="","",ROUND(AY167+R167*CONFIGURACION!$B$13,4))</f>
        <v/>
      </c>
      <c r="BG167" s="18" t="str">
        <f>IF($A167="","",ROUND(AY167+R167*CONFIGURACION!$B$12,4))</f>
        <v/>
      </c>
      <c r="BH167" s="18" t="str">
        <f t="shared" si="57"/>
        <v/>
      </c>
      <c r="BI167" s="18" t="str">
        <f t="shared" si="58"/>
        <v/>
      </c>
      <c r="BJ167" s="18" t="str">
        <f t="shared" si="59"/>
        <v/>
      </c>
      <c r="BK167" s="18" t="str">
        <f t="shared" si="60"/>
        <v/>
      </c>
      <c r="BL167" s="18" t="str">
        <f t="shared" si="61"/>
        <v/>
      </c>
      <c r="BM167" s="18" t="str">
        <f t="shared" si="62"/>
        <v/>
      </c>
      <c r="BN167" s="18" t="str">
        <f t="shared" si="63"/>
        <v/>
      </c>
      <c r="BO167" s="18" t="str">
        <f t="shared" si="64"/>
        <v/>
      </c>
      <c r="BP167" s="18" t="str">
        <f t="shared" si="65"/>
        <v/>
      </c>
      <c r="BQ167" s="16"/>
      <c r="BR167" s="16"/>
      <c r="BS167" s="17"/>
    </row>
    <row r="168" spans="1:71" ht="16.05" customHeight="1" x14ac:dyDescent="0.3">
      <c r="A168" s="16"/>
      <c r="B168" s="16"/>
      <c r="C168" s="17"/>
      <c r="D168" s="17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7" t="str">
        <f t="shared" si="55"/>
        <v/>
      </c>
      <c r="V168" s="17" t="str">
        <f t="shared" si="56"/>
        <v/>
      </c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8" t="str">
        <f>IF($A168="","",ROUND(P168*CONFIGURACION!$B$2+IF(W168&lt;&gt;"",X168*IFERROR(VLOOKUP(W168,'DATOS COSTES POLIAMIDAS'!$A:$G,7,0),0),0)+IF(Y168&lt;&gt;"",Z168*IFERROR(VLOOKUP(Y168,'DATOS COSTES POLIAMIDAS'!$A:$G,7,0),0),0)+IF(AA168&lt;&gt;"",AB168*IFERROR(VLOOKUP(AA168,'DATOS COSTES POLIAMIDAS'!$A:$G,7,0),0),0)+IF(AC168&lt;&gt;"",AD168*IFERROR(VLOOKUP(AC168,'DATOS COSTES POLIAMIDAS'!$A:$G,7,0),0),0)+IF(AE168&lt;&gt;"",IFERROR(VLOOKUP(AE168,'DATOS COSTES MECANIZADOS'!$A:$F,6,0),0),0),4))</f>
        <v/>
      </c>
      <c r="AZ168" s="18" t="str">
        <f>IF($A168="","",ROUND(AY168+R168*CONFIGURACION!$B$6,4))</f>
        <v/>
      </c>
      <c r="BA168" s="18" t="str">
        <f>IF($A168="","",ROUND(AY168+R168*CONFIGURACION!$B$7,4))</f>
        <v/>
      </c>
      <c r="BB168" s="18" t="str">
        <f>IF($A168="","",ROUND(AY168+R168*CONFIGURACION!$B$5,4))</f>
        <v/>
      </c>
      <c r="BC168" s="18" t="str">
        <f>IF($A168="","",ROUND(AY168+R168*CONFIGURACION!$B$10+R168*T168*CONFIGURACION!$B$11,4))</f>
        <v/>
      </c>
      <c r="BD168" s="18" t="str">
        <f>IF($A168="","",ROUND(AY168+R168*CONFIGURACION!$B$8,4))</f>
        <v/>
      </c>
      <c r="BE168" s="18" t="str">
        <f>IF($A168="","",ROUND(AY168+R168*CONFIGURACION!$B$9,4))</f>
        <v/>
      </c>
      <c r="BF168" s="18" t="str">
        <f>IF($A168="","",ROUND(AY168+R168*CONFIGURACION!$B$13,4))</f>
        <v/>
      </c>
      <c r="BG168" s="18" t="str">
        <f>IF($A168="","",ROUND(AY168+R168*CONFIGURACION!$B$12,4))</f>
        <v/>
      </c>
      <c r="BH168" s="18" t="str">
        <f t="shared" si="57"/>
        <v/>
      </c>
      <c r="BI168" s="18" t="str">
        <f t="shared" si="58"/>
        <v/>
      </c>
      <c r="BJ168" s="18" t="str">
        <f t="shared" si="59"/>
        <v/>
      </c>
      <c r="BK168" s="18" t="str">
        <f t="shared" si="60"/>
        <v/>
      </c>
      <c r="BL168" s="18" t="str">
        <f t="shared" si="61"/>
        <v/>
      </c>
      <c r="BM168" s="18" t="str">
        <f t="shared" si="62"/>
        <v/>
      </c>
      <c r="BN168" s="18" t="str">
        <f t="shared" si="63"/>
        <v/>
      </c>
      <c r="BO168" s="18" t="str">
        <f t="shared" si="64"/>
        <v/>
      </c>
      <c r="BP168" s="18" t="str">
        <f t="shared" si="65"/>
        <v/>
      </c>
      <c r="BQ168" s="16"/>
      <c r="BR168" s="16"/>
      <c r="BS168" s="17"/>
    </row>
    <row r="169" spans="1:71" ht="16.05" customHeight="1" x14ac:dyDescent="0.3">
      <c r="A169" s="16"/>
      <c r="B169" s="16"/>
      <c r="C169" s="17"/>
      <c r="D169" s="17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7" t="str">
        <f t="shared" si="55"/>
        <v/>
      </c>
      <c r="V169" s="17" t="str">
        <f t="shared" si="56"/>
        <v/>
      </c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8" t="str">
        <f>IF($A169="","",ROUND(P169*CONFIGURACION!$B$2+IF(W169&lt;&gt;"",X169*IFERROR(VLOOKUP(W169,'DATOS COSTES POLIAMIDAS'!$A:$G,7,0),0),0)+IF(Y169&lt;&gt;"",Z169*IFERROR(VLOOKUP(Y169,'DATOS COSTES POLIAMIDAS'!$A:$G,7,0),0),0)+IF(AA169&lt;&gt;"",AB169*IFERROR(VLOOKUP(AA169,'DATOS COSTES POLIAMIDAS'!$A:$G,7,0),0),0)+IF(AC169&lt;&gt;"",AD169*IFERROR(VLOOKUP(AC169,'DATOS COSTES POLIAMIDAS'!$A:$G,7,0),0),0)+IF(AE169&lt;&gt;"",IFERROR(VLOOKUP(AE169,'DATOS COSTES MECANIZADOS'!$A:$F,6,0),0),0),4))</f>
        <v/>
      </c>
      <c r="AZ169" s="18" t="str">
        <f>IF($A169="","",ROUND(AY169+R169*CONFIGURACION!$B$6,4))</f>
        <v/>
      </c>
      <c r="BA169" s="18" t="str">
        <f>IF($A169="","",ROUND(AY169+R169*CONFIGURACION!$B$7,4))</f>
        <v/>
      </c>
      <c r="BB169" s="18" t="str">
        <f>IF($A169="","",ROUND(AY169+R169*CONFIGURACION!$B$5,4))</f>
        <v/>
      </c>
      <c r="BC169" s="18" t="str">
        <f>IF($A169="","",ROUND(AY169+R169*CONFIGURACION!$B$10+R169*T169*CONFIGURACION!$B$11,4))</f>
        <v/>
      </c>
      <c r="BD169" s="18" t="str">
        <f>IF($A169="","",ROUND(AY169+R169*CONFIGURACION!$B$8,4))</f>
        <v/>
      </c>
      <c r="BE169" s="18" t="str">
        <f>IF($A169="","",ROUND(AY169+R169*CONFIGURACION!$B$9,4))</f>
        <v/>
      </c>
      <c r="BF169" s="18" t="str">
        <f>IF($A169="","",ROUND(AY169+R169*CONFIGURACION!$B$13,4))</f>
        <v/>
      </c>
      <c r="BG169" s="18" t="str">
        <f>IF($A169="","",ROUND(AY169+R169*CONFIGURACION!$B$12,4))</f>
        <v/>
      </c>
      <c r="BH169" s="18" t="str">
        <f t="shared" si="57"/>
        <v/>
      </c>
      <c r="BI169" s="18" t="str">
        <f t="shared" si="58"/>
        <v/>
      </c>
      <c r="BJ169" s="18" t="str">
        <f t="shared" si="59"/>
        <v/>
      </c>
      <c r="BK169" s="18" t="str">
        <f t="shared" si="60"/>
        <v/>
      </c>
      <c r="BL169" s="18" t="str">
        <f t="shared" si="61"/>
        <v/>
      </c>
      <c r="BM169" s="18" t="str">
        <f t="shared" si="62"/>
        <v/>
      </c>
      <c r="BN169" s="18" t="str">
        <f t="shared" si="63"/>
        <v/>
      </c>
      <c r="BO169" s="18" t="str">
        <f t="shared" si="64"/>
        <v/>
      </c>
      <c r="BP169" s="18" t="str">
        <f t="shared" si="65"/>
        <v/>
      </c>
      <c r="BQ169" s="16"/>
      <c r="BR169" s="16"/>
      <c r="BS169" s="17"/>
    </row>
    <row r="170" spans="1:71" ht="16.05" customHeight="1" x14ac:dyDescent="0.3">
      <c r="A170" s="16"/>
      <c r="B170" s="16"/>
      <c r="C170" s="17"/>
      <c r="D170" s="17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7" t="str">
        <f t="shared" si="55"/>
        <v/>
      </c>
      <c r="V170" s="17" t="str">
        <f t="shared" si="56"/>
        <v/>
      </c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8" t="str">
        <f>IF($A170="","",ROUND(P170*CONFIGURACION!$B$2+IF(W170&lt;&gt;"",X170*IFERROR(VLOOKUP(W170,'DATOS COSTES POLIAMIDAS'!$A:$G,7,0),0),0)+IF(Y170&lt;&gt;"",Z170*IFERROR(VLOOKUP(Y170,'DATOS COSTES POLIAMIDAS'!$A:$G,7,0),0),0)+IF(AA170&lt;&gt;"",AB170*IFERROR(VLOOKUP(AA170,'DATOS COSTES POLIAMIDAS'!$A:$G,7,0),0),0)+IF(AC170&lt;&gt;"",AD170*IFERROR(VLOOKUP(AC170,'DATOS COSTES POLIAMIDAS'!$A:$G,7,0),0),0)+IF(AE170&lt;&gt;"",IFERROR(VLOOKUP(AE170,'DATOS COSTES MECANIZADOS'!$A:$F,6,0),0),0),4))</f>
        <v/>
      </c>
      <c r="AZ170" s="18" t="str">
        <f>IF($A170="","",ROUND(AY170+R170*CONFIGURACION!$B$6,4))</f>
        <v/>
      </c>
      <c r="BA170" s="18" t="str">
        <f>IF($A170="","",ROUND(AY170+R170*CONFIGURACION!$B$7,4))</f>
        <v/>
      </c>
      <c r="BB170" s="18" t="str">
        <f>IF($A170="","",ROUND(AY170+R170*CONFIGURACION!$B$5,4))</f>
        <v/>
      </c>
      <c r="BC170" s="18" t="str">
        <f>IF($A170="","",ROUND(AY170+R170*CONFIGURACION!$B$10+R170*T170*CONFIGURACION!$B$11,4))</f>
        <v/>
      </c>
      <c r="BD170" s="18" t="str">
        <f>IF($A170="","",ROUND(AY170+R170*CONFIGURACION!$B$8,4))</f>
        <v/>
      </c>
      <c r="BE170" s="18" t="str">
        <f>IF($A170="","",ROUND(AY170+R170*CONFIGURACION!$B$9,4))</f>
        <v/>
      </c>
      <c r="BF170" s="18" t="str">
        <f>IF($A170="","",ROUND(AY170+R170*CONFIGURACION!$B$13,4))</f>
        <v/>
      </c>
      <c r="BG170" s="18" t="str">
        <f>IF($A170="","",ROUND(AY170+R170*CONFIGURACION!$B$12,4))</f>
        <v/>
      </c>
      <c r="BH170" s="18" t="str">
        <f t="shared" si="57"/>
        <v/>
      </c>
      <c r="BI170" s="18" t="str">
        <f t="shared" si="58"/>
        <v/>
      </c>
      <c r="BJ170" s="18" t="str">
        <f t="shared" si="59"/>
        <v/>
      </c>
      <c r="BK170" s="18" t="str">
        <f t="shared" si="60"/>
        <v/>
      </c>
      <c r="BL170" s="18" t="str">
        <f t="shared" si="61"/>
        <v/>
      </c>
      <c r="BM170" s="18" t="str">
        <f t="shared" si="62"/>
        <v/>
      </c>
      <c r="BN170" s="18" t="str">
        <f t="shared" si="63"/>
        <v/>
      </c>
      <c r="BO170" s="18" t="str">
        <f t="shared" si="64"/>
        <v/>
      </c>
      <c r="BP170" s="18" t="str">
        <f t="shared" si="65"/>
        <v/>
      </c>
      <c r="BQ170" s="16"/>
      <c r="BR170" s="16"/>
      <c r="BS170" s="17"/>
    </row>
    <row r="171" spans="1:71" ht="16.05" customHeight="1" x14ac:dyDescent="0.3">
      <c r="A171" s="16"/>
      <c r="B171" s="16"/>
      <c r="C171" s="17"/>
      <c r="D171" s="17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7" t="str">
        <f t="shared" si="55"/>
        <v/>
      </c>
      <c r="V171" s="17" t="str">
        <f t="shared" si="56"/>
        <v/>
      </c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8" t="str">
        <f>IF($A171="","",ROUND(P171*CONFIGURACION!$B$2+IF(W171&lt;&gt;"",X171*IFERROR(VLOOKUP(W171,'DATOS COSTES POLIAMIDAS'!$A:$G,7,0),0),0)+IF(Y171&lt;&gt;"",Z171*IFERROR(VLOOKUP(Y171,'DATOS COSTES POLIAMIDAS'!$A:$G,7,0),0),0)+IF(AA171&lt;&gt;"",AB171*IFERROR(VLOOKUP(AA171,'DATOS COSTES POLIAMIDAS'!$A:$G,7,0),0),0)+IF(AC171&lt;&gt;"",AD171*IFERROR(VLOOKUP(AC171,'DATOS COSTES POLIAMIDAS'!$A:$G,7,0),0),0)+IF(AE171&lt;&gt;"",IFERROR(VLOOKUP(AE171,'DATOS COSTES MECANIZADOS'!$A:$F,6,0),0),0),4))</f>
        <v/>
      </c>
      <c r="AZ171" s="18" t="str">
        <f>IF($A171="","",ROUND(AY171+R171*CONFIGURACION!$B$6,4))</f>
        <v/>
      </c>
      <c r="BA171" s="18" t="str">
        <f>IF($A171="","",ROUND(AY171+R171*CONFIGURACION!$B$7,4))</f>
        <v/>
      </c>
      <c r="BB171" s="18" t="str">
        <f>IF($A171="","",ROUND(AY171+R171*CONFIGURACION!$B$5,4))</f>
        <v/>
      </c>
      <c r="BC171" s="18" t="str">
        <f>IF($A171="","",ROUND(AY171+R171*CONFIGURACION!$B$10+R171*T171*CONFIGURACION!$B$11,4))</f>
        <v/>
      </c>
      <c r="BD171" s="18" t="str">
        <f>IF($A171="","",ROUND(AY171+R171*CONFIGURACION!$B$8,4))</f>
        <v/>
      </c>
      <c r="BE171" s="18" t="str">
        <f>IF($A171="","",ROUND(AY171+R171*CONFIGURACION!$B$9,4))</f>
        <v/>
      </c>
      <c r="BF171" s="18" t="str">
        <f>IF($A171="","",ROUND(AY171+R171*CONFIGURACION!$B$13,4))</f>
        <v/>
      </c>
      <c r="BG171" s="18" t="str">
        <f>IF($A171="","",ROUND(AY171+R171*CONFIGURACION!$B$12,4))</f>
        <v/>
      </c>
      <c r="BH171" s="18" t="str">
        <f t="shared" si="57"/>
        <v/>
      </c>
      <c r="BI171" s="18" t="str">
        <f t="shared" si="58"/>
        <v/>
      </c>
      <c r="BJ171" s="18" t="str">
        <f t="shared" si="59"/>
        <v/>
      </c>
      <c r="BK171" s="18" t="str">
        <f t="shared" si="60"/>
        <v/>
      </c>
      <c r="BL171" s="18" t="str">
        <f t="shared" si="61"/>
        <v/>
      </c>
      <c r="BM171" s="18" t="str">
        <f t="shared" si="62"/>
        <v/>
      </c>
      <c r="BN171" s="18" t="str">
        <f t="shared" si="63"/>
        <v/>
      </c>
      <c r="BO171" s="18" t="str">
        <f t="shared" si="64"/>
        <v/>
      </c>
      <c r="BP171" s="18" t="str">
        <f t="shared" si="65"/>
        <v/>
      </c>
      <c r="BQ171" s="16"/>
      <c r="BR171" s="16"/>
      <c r="BS171" s="17"/>
    </row>
    <row r="172" spans="1:71" ht="16.05" customHeight="1" x14ac:dyDescent="0.3">
      <c r="A172" s="16"/>
      <c r="B172" s="16"/>
      <c r="C172" s="17"/>
      <c r="D172" s="17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7" t="str">
        <f t="shared" si="55"/>
        <v/>
      </c>
      <c r="V172" s="17" t="str">
        <f t="shared" si="56"/>
        <v/>
      </c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8" t="str">
        <f>IF($A172="","",ROUND(P172*CONFIGURACION!$B$2+IF(W172&lt;&gt;"",X172*IFERROR(VLOOKUP(W172,'DATOS COSTES POLIAMIDAS'!$A:$G,7,0),0),0)+IF(Y172&lt;&gt;"",Z172*IFERROR(VLOOKUP(Y172,'DATOS COSTES POLIAMIDAS'!$A:$G,7,0),0),0)+IF(AA172&lt;&gt;"",AB172*IFERROR(VLOOKUP(AA172,'DATOS COSTES POLIAMIDAS'!$A:$G,7,0),0),0)+IF(AC172&lt;&gt;"",AD172*IFERROR(VLOOKUP(AC172,'DATOS COSTES POLIAMIDAS'!$A:$G,7,0),0),0)+IF(AE172&lt;&gt;"",IFERROR(VLOOKUP(AE172,'DATOS COSTES MECANIZADOS'!$A:$F,6,0),0),0),4))</f>
        <v/>
      </c>
      <c r="AZ172" s="18" t="str">
        <f>IF($A172="","",ROUND(AY172+R172*CONFIGURACION!$B$6,4))</f>
        <v/>
      </c>
      <c r="BA172" s="18" t="str">
        <f>IF($A172="","",ROUND(AY172+R172*CONFIGURACION!$B$7,4))</f>
        <v/>
      </c>
      <c r="BB172" s="18" t="str">
        <f>IF($A172="","",ROUND(AY172+R172*CONFIGURACION!$B$5,4))</f>
        <v/>
      </c>
      <c r="BC172" s="18" t="str">
        <f>IF($A172="","",ROUND(AY172+R172*CONFIGURACION!$B$10+R172*T172*CONFIGURACION!$B$11,4))</f>
        <v/>
      </c>
      <c r="BD172" s="18" t="str">
        <f>IF($A172="","",ROUND(AY172+R172*CONFIGURACION!$B$8,4))</f>
        <v/>
      </c>
      <c r="BE172" s="18" t="str">
        <f>IF($A172="","",ROUND(AY172+R172*CONFIGURACION!$B$9,4))</f>
        <v/>
      </c>
      <c r="BF172" s="18" t="str">
        <f>IF($A172="","",ROUND(AY172+R172*CONFIGURACION!$B$13,4))</f>
        <v/>
      </c>
      <c r="BG172" s="18" t="str">
        <f>IF($A172="","",ROUND(AY172+R172*CONFIGURACION!$B$12,4))</f>
        <v/>
      </c>
      <c r="BH172" s="18" t="str">
        <f t="shared" si="57"/>
        <v/>
      </c>
      <c r="BI172" s="18" t="str">
        <f t="shared" si="58"/>
        <v/>
      </c>
      <c r="BJ172" s="18" t="str">
        <f t="shared" si="59"/>
        <v/>
      </c>
      <c r="BK172" s="18" t="str">
        <f t="shared" si="60"/>
        <v/>
      </c>
      <c r="BL172" s="18" t="str">
        <f t="shared" si="61"/>
        <v/>
      </c>
      <c r="BM172" s="18" t="str">
        <f t="shared" si="62"/>
        <v/>
      </c>
      <c r="BN172" s="18" t="str">
        <f t="shared" si="63"/>
        <v/>
      </c>
      <c r="BO172" s="18" t="str">
        <f t="shared" si="64"/>
        <v/>
      </c>
      <c r="BP172" s="18" t="str">
        <f t="shared" si="65"/>
        <v/>
      </c>
      <c r="BQ172" s="16"/>
      <c r="BR172" s="16"/>
      <c r="BS172" s="17"/>
    </row>
    <row r="173" spans="1:71" ht="16.05" customHeight="1" x14ac:dyDescent="0.3">
      <c r="A173" s="16"/>
      <c r="B173" s="16"/>
      <c r="C173" s="17"/>
      <c r="D173" s="17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7" t="str">
        <f t="shared" si="55"/>
        <v/>
      </c>
      <c r="V173" s="17" t="str">
        <f t="shared" si="56"/>
        <v/>
      </c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8" t="str">
        <f>IF($A173="","",ROUND(P173*CONFIGURACION!$B$2+IF(W173&lt;&gt;"",X173*IFERROR(VLOOKUP(W173,'DATOS COSTES POLIAMIDAS'!$A:$G,7,0),0),0)+IF(Y173&lt;&gt;"",Z173*IFERROR(VLOOKUP(Y173,'DATOS COSTES POLIAMIDAS'!$A:$G,7,0),0),0)+IF(AA173&lt;&gt;"",AB173*IFERROR(VLOOKUP(AA173,'DATOS COSTES POLIAMIDAS'!$A:$G,7,0),0),0)+IF(AC173&lt;&gt;"",AD173*IFERROR(VLOOKUP(AC173,'DATOS COSTES POLIAMIDAS'!$A:$G,7,0),0),0)+IF(AE173&lt;&gt;"",IFERROR(VLOOKUP(AE173,'DATOS COSTES MECANIZADOS'!$A:$F,6,0),0),0),4))</f>
        <v/>
      </c>
      <c r="AZ173" s="18" t="str">
        <f>IF($A173="","",ROUND(AY173+R173*CONFIGURACION!$B$6,4))</f>
        <v/>
      </c>
      <c r="BA173" s="18" t="str">
        <f>IF($A173="","",ROUND(AY173+R173*CONFIGURACION!$B$7,4))</f>
        <v/>
      </c>
      <c r="BB173" s="18" t="str">
        <f>IF($A173="","",ROUND(AY173+R173*CONFIGURACION!$B$5,4))</f>
        <v/>
      </c>
      <c r="BC173" s="18" t="str">
        <f>IF($A173="","",ROUND(AY173+R173*CONFIGURACION!$B$10+R173*T173*CONFIGURACION!$B$11,4))</f>
        <v/>
      </c>
      <c r="BD173" s="18" t="str">
        <f>IF($A173="","",ROUND(AY173+R173*CONFIGURACION!$B$8,4))</f>
        <v/>
      </c>
      <c r="BE173" s="18" t="str">
        <f>IF($A173="","",ROUND(AY173+R173*CONFIGURACION!$B$9,4))</f>
        <v/>
      </c>
      <c r="BF173" s="18" t="str">
        <f>IF($A173="","",ROUND(AY173+R173*CONFIGURACION!$B$13,4))</f>
        <v/>
      </c>
      <c r="BG173" s="18" t="str">
        <f>IF($A173="","",ROUND(AY173+R173*CONFIGURACION!$B$12,4))</f>
        <v/>
      </c>
      <c r="BH173" s="18" t="str">
        <f t="shared" si="57"/>
        <v/>
      </c>
      <c r="BI173" s="18" t="str">
        <f t="shared" si="58"/>
        <v/>
      </c>
      <c r="BJ173" s="18" t="str">
        <f t="shared" si="59"/>
        <v/>
      </c>
      <c r="BK173" s="18" t="str">
        <f t="shared" si="60"/>
        <v/>
      </c>
      <c r="BL173" s="18" t="str">
        <f t="shared" si="61"/>
        <v/>
      </c>
      <c r="BM173" s="18" t="str">
        <f t="shared" si="62"/>
        <v/>
      </c>
      <c r="BN173" s="18" t="str">
        <f t="shared" si="63"/>
        <v/>
      </c>
      <c r="BO173" s="18" t="str">
        <f t="shared" si="64"/>
        <v/>
      </c>
      <c r="BP173" s="18" t="str">
        <f t="shared" si="65"/>
        <v/>
      </c>
      <c r="BQ173" s="16"/>
      <c r="BR173" s="16"/>
      <c r="BS173" s="17"/>
    </row>
    <row r="174" spans="1:71" ht="16.05" customHeight="1" x14ac:dyDescent="0.3">
      <c r="A174" s="16"/>
      <c r="B174" s="16"/>
      <c r="C174" s="17"/>
      <c r="D174" s="17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7" t="str">
        <f t="shared" si="55"/>
        <v/>
      </c>
      <c r="V174" s="17" t="str">
        <f t="shared" si="56"/>
        <v/>
      </c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8" t="str">
        <f>IF($A174="","",ROUND(P174*CONFIGURACION!$B$2+IF(W174&lt;&gt;"",X174*IFERROR(VLOOKUP(W174,'DATOS COSTES POLIAMIDAS'!$A:$G,7,0),0),0)+IF(Y174&lt;&gt;"",Z174*IFERROR(VLOOKUP(Y174,'DATOS COSTES POLIAMIDAS'!$A:$G,7,0),0),0)+IF(AA174&lt;&gt;"",AB174*IFERROR(VLOOKUP(AA174,'DATOS COSTES POLIAMIDAS'!$A:$G,7,0),0),0)+IF(AC174&lt;&gt;"",AD174*IFERROR(VLOOKUP(AC174,'DATOS COSTES POLIAMIDAS'!$A:$G,7,0),0),0)+IF(AE174&lt;&gt;"",IFERROR(VLOOKUP(AE174,'DATOS COSTES MECANIZADOS'!$A:$F,6,0),0),0),4))</f>
        <v/>
      </c>
      <c r="AZ174" s="18" t="str">
        <f>IF($A174="","",ROUND(AY174+R174*CONFIGURACION!$B$6,4))</f>
        <v/>
      </c>
      <c r="BA174" s="18" t="str">
        <f>IF($A174="","",ROUND(AY174+R174*CONFIGURACION!$B$7,4))</f>
        <v/>
      </c>
      <c r="BB174" s="18" t="str">
        <f>IF($A174="","",ROUND(AY174+R174*CONFIGURACION!$B$5,4))</f>
        <v/>
      </c>
      <c r="BC174" s="18" t="str">
        <f>IF($A174="","",ROUND(AY174+R174*CONFIGURACION!$B$10+R174*T174*CONFIGURACION!$B$11,4))</f>
        <v/>
      </c>
      <c r="BD174" s="18" t="str">
        <f>IF($A174="","",ROUND(AY174+R174*CONFIGURACION!$B$8,4))</f>
        <v/>
      </c>
      <c r="BE174" s="18" t="str">
        <f>IF($A174="","",ROUND(AY174+R174*CONFIGURACION!$B$9,4))</f>
        <v/>
      </c>
      <c r="BF174" s="18" t="str">
        <f>IF($A174="","",ROUND(AY174+R174*CONFIGURACION!$B$13,4))</f>
        <v/>
      </c>
      <c r="BG174" s="18" t="str">
        <f>IF($A174="","",ROUND(AY174+R174*CONFIGURACION!$B$12,4))</f>
        <v/>
      </c>
      <c r="BH174" s="18" t="str">
        <f t="shared" si="57"/>
        <v/>
      </c>
      <c r="BI174" s="18" t="str">
        <f t="shared" si="58"/>
        <v/>
      </c>
      <c r="BJ174" s="18" t="str">
        <f t="shared" si="59"/>
        <v/>
      </c>
      <c r="BK174" s="18" t="str">
        <f t="shared" si="60"/>
        <v/>
      </c>
      <c r="BL174" s="18" t="str">
        <f t="shared" si="61"/>
        <v/>
      </c>
      <c r="BM174" s="18" t="str">
        <f t="shared" si="62"/>
        <v/>
      </c>
      <c r="BN174" s="18" t="str">
        <f t="shared" si="63"/>
        <v/>
      </c>
      <c r="BO174" s="18" t="str">
        <f t="shared" si="64"/>
        <v/>
      </c>
      <c r="BP174" s="18" t="str">
        <f t="shared" si="65"/>
        <v/>
      </c>
      <c r="BQ174" s="16"/>
      <c r="BR174" s="16"/>
      <c r="BS174" s="17"/>
    </row>
    <row r="175" spans="1:71" ht="16.05" customHeight="1" x14ac:dyDescent="0.3">
      <c r="A175" s="16"/>
      <c r="B175" s="16"/>
      <c r="C175" s="17"/>
      <c r="D175" s="17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7" t="str">
        <f t="shared" si="55"/>
        <v/>
      </c>
      <c r="V175" s="17" t="str">
        <f t="shared" si="56"/>
        <v/>
      </c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8" t="str">
        <f>IF($A175="","",ROUND(P175*CONFIGURACION!$B$2+IF(W175&lt;&gt;"",X175*IFERROR(VLOOKUP(W175,'DATOS COSTES POLIAMIDAS'!$A:$G,7,0),0),0)+IF(Y175&lt;&gt;"",Z175*IFERROR(VLOOKUP(Y175,'DATOS COSTES POLIAMIDAS'!$A:$G,7,0),0),0)+IF(AA175&lt;&gt;"",AB175*IFERROR(VLOOKUP(AA175,'DATOS COSTES POLIAMIDAS'!$A:$G,7,0),0),0)+IF(AC175&lt;&gt;"",AD175*IFERROR(VLOOKUP(AC175,'DATOS COSTES POLIAMIDAS'!$A:$G,7,0),0),0)+IF(AE175&lt;&gt;"",IFERROR(VLOOKUP(AE175,'DATOS COSTES MECANIZADOS'!$A:$F,6,0),0),0),4))</f>
        <v/>
      </c>
      <c r="AZ175" s="18" t="str">
        <f>IF($A175="","",ROUND(AY175+R175*CONFIGURACION!$B$6,4))</f>
        <v/>
      </c>
      <c r="BA175" s="18" t="str">
        <f>IF($A175="","",ROUND(AY175+R175*CONFIGURACION!$B$7,4))</f>
        <v/>
      </c>
      <c r="BB175" s="18" t="str">
        <f>IF($A175="","",ROUND(AY175+R175*CONFIGURACION!$B$5,4))</f>
        <v/>
      </c>
      <c r="BC175" s="18" t="str">
        <f>IF($A175="","",ROUND(AY175+R175*CONFIGURACION!$B$10+R175*T175*CONFIGURACION!$B$11,4))</f>
        <v/>
      </c>
      <c r="BD175" s="18" t="str">
        <f>IF($A175="","",ROUND(AY175+R175*CONFIGURACION!$B$8,4))</f>
        <v/>
      </c>
      <c r="BE175" s="18" t="str">
        <f>IF($A175="","",ROUND(AY175+R175*CONFIGURACION!$B$9,4))</f>
        <v/>
      </c>
      <c r="BF175" s="18" t="str">
        <f>IF($A175="","",ROUND(AY175+R175*CONFIGURACION!$B$13,4))</f>
        <v/>
      </c>
      <c r="BG175" s="18" t="str">
        <f>IF($A175="","",ROUND(AY175+R175*CONFIGURACION!$B$12,4))</f>
        <v/>
      </c>
      <c r="BH175" s="18" t="str">
        <f t="shared" si="57"/>
        <v/>
      </c>
      <c r="BI175" s="18" t="str">
        <f t="shared" si="58"/>
        <v/>
      </c>
      <c r="BJ175" s="18" t="str">
        <f t="shared" si="59"/>
        <v/>
      </c>
      <c r="BK175" s="18" t="str">
        <f t="shared" si="60"/>
        <v/>
      </c>
      <c r="BL175" s="18" t="str">
        <f t="shared" si="61"/>
        <v/>
      </c>
      <c r="BM175" s="18" t="str">
        <f t="shared" si="62"/>
        <v/>
      </c>
      <c r="BN175" s="18" t="str">
        <f t="shared" si="63"/>
        <v/>
      </c>
      <c r="BO175" s="18" t="str">
        <f t="shared" si="64"/>
        <v/>
      </c>
      <c r="BP175" s="18" t="str">
        <f t="shared" si="65"/>
        <v/>
      </c>
      <c r="BQ175" s="16"/>
      <c r="BR175" s="16"/>
      <c r="BS175" s="17"/>
    </row>
    <row r="176" spans="1:71" ht="16.05" customHeight="1" x14ac:dyDescent="0.3">
      <c r="A176" s="16"/>
      <c r="B176" s="16"/>
      <c r="C176" s="17"/>
      <c r="D176" s="17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7" t="str">
        <f t="shared" si="55"/>
        <v/>
      </c>
      <c r="V176" s="17" t="str">
        <f t="shared" si="56"/>
        <v/>
      </c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8" t="str">
        <f>IF($A176="","",ROUND(P176*CONFIGURACION!$B$2+IF(W176&lt;&gt;"",X176*IFERROR(VLOOKUP(W176,'DATOS COSTES POLIAMIDAS'!$A:$G,7,0),0),0)+IF(Y176&lt;&gt;"",Z176*IFERROR(VLOOKUP(Y176,'DATOS COSTES POLIAMIDAS'!$A:$G,7,0),0),0)+IF(AA176&lt;&gt;"",AB176*IFERROR(VLOOKUP(AA176,'DATOS COSTES POLIAMIDAS'!$A:$G,7,0),0),0)+IF(AC176&lt;&gt;"",AD176*IFERROR(VLOOKUP(AC176,'DATOS COSTES POLIAMIDAS'!$A:$G,7,0),0),0)+IF(AE176&lt;&gt;"",IFERROR(VLOOKUP(AE176,'DATOS COSTES MECANIZADOS'!$A:$F,6,0),0),0),4))</f>
        <v/>
      </c>
      <c r="AZ176" s="18" t="str">
        <f>IF($A176="","",ROUND(AY176+R176*CONFIGURACION!$B$6,4))</f>
        <v/>
      </c>
      <c r="BA176" s="18" t="str">
        <f>IF($A176="","",ROUND(AY176+R176*CONFIGURACION!$B$7,4))</f>
        <v/>
      </c>
      <c r="BB176" s="18" t="str">
        <f>IF($A176="","",ROUND(AY176+R176*CONFIGURACION!$B$5,4))</f>
        <v/>
      </c>
      <c r="BC176" s="18" t="str">
        <f>IF($A176="","",ROUND(AY176+R176*CONFIGURACION!$B$10+R176*T176*CONFIGURACION!$B$11,4))</f>
        <v/>
      </c>
      <c r="BD176" s="18" t="str">
        <f>IF($A176="","",ROUND(AY176+R176*CONFIGURACION!$B$8,4))</f>
        <v/>
      </c>
      <c r="BE176" s="18" t="str">
        <f>IF($A176="","",ROUND(AY176+R176*CONFIGURACION!$B$9,4))</f>
        <v/>
      </c>
      <c r="BF176" s="18" t="str">
        <f>IF($A176="","",ROUND(AY176+R176*CONFIGURACION!$B$13,4))</f>
        <v/>
      </c>
      <c r="BG176" s="18" t="str">
        <f>IF($A176="","",ROUND(AY176+R176*CONFIGURACION!$B$12,4))</f>
        <v/>
      </c>
      <c r="BH176" s="18" t="str">
        <f t="shared" si="57"/>
        <v/>
      </c>
      <c r="BI176" s="18" t="str">
        <f t="shared" si="58"/>
        <v/>
      </c>
      <c r="BJ176" s="18" t="str">
        <f t="shared" si="59"/>
        <v/>
      </c>
      <c r="BK176" s="18" t="str">
        <f t="shared" si="60"/>
        <v/>
      </c>
      <c r="BL176" s="18" t="str">
        <f t="shared" si="61"/>
        <v/>
      </c>
      <c r="BM176" s="18" t="str">
        <f t="shared" si="62"/>
        <v/>
      </c>
      <c r="BN176" s="18" t="str">
        <f t="shared" si="63"/>
        <v/>
      </c>
      <c r="BO176" s="18" t="str">
        <f t="shared" si="64"/>
        <v/>
      </c>
      <c r="BP176" s="18" t="str">
        <f t="shared" si="65"/>
        <v/>
      </c>
      <c r="BQ176" s="16"/>
      <c r="BR176" s="16"/>
      <c r="BS176" s="17"/>
    </row>
    <row r="177" spans="1:71" ht="16.05" customHeight="1" x14ac:dyDescent="0.3">
      <c r="A177" s="16"/>
      <c r="B177" s="16"/>
      <c r="C177" s="17"/>
      <c r="D177" s="17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7" t="str">
        <f t="shared" si="55"/>
        <v/>
      </c>
      <c r="V177" s="17" t="str">
        <f t="shared" si="56"/>
        <v/>
      </c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8" t="str">
        <f>IF($A177="","",ROUND(P177*CONFIGURACION!$B$2+IF(W177&lt;&gt;"",X177*IFERROR(VLOOKUP(W177,'DATOS COSTES POLIAMIDAS'!$A:$G,7,0),0),0)+IF(Y177&lt;&gt;"",Z177*IFERROR(VLOOKUP(Y177,'DATOS COSTES POLIAMIDAS'!$A:$G,7,0),0),0)+IF(AA177&lt;&gt;"",AB177*IFERROR(VLOOKUP(AA177,'DATOS COSTES POLIAMIDAS'!$A:$G,7,0),0),0)+IF(AC177&lt;&gt;"",AD177*IFERROR(VLOOKUP(AC177,'DATOS COSTES POLIAMIDAS'!$A:$G,7,0),0),0)+IF(AE177&lt;&gt;"",IFERROR(VLOOKUP(AE177,'DATOS COSTES MECANIZADOS'!$A:$F,6,0),0),0),4))</f>
        <v/>
      </c>
      <c r="AZ177" s="18" t="str">
        <f>IF($A177="","",ROUND(AY177+R177*CONFIGURACION!$B$6,4))</f>
        <v/>
      </c>
      <c r="BA177" s="18" t="str">
        <f>IF($A177="","",ROUND(AY177+R177*CONFIGURACION!$B$7,4))</f>
        <v/>
      </c>
      <c r="BB177" s="18" t="str">
        <f>IF($A177="","",ROUND(AY177+R177*CONFIGURACION!$B$5,4))</f>
        <v/>
      </c>
      <c r="BC177" s="18" t="str">
        <f>IF($A177="","",ROUND(AY177+R177*CONFIGURACION!$B$10+R177*T177*CONFIGURACION!$B$11,4))</f>
        <v/>
      </c>
      <c r="BD177" s="18" t="str">
        <f>IF($A177="","",ROUND(AY177+R177*CONFIGURACION!$B$8,4))</f>
        <v/>
      </c>
      <c r="BE177" s="18" t="str">
        <f>IF($A177="","",ROUND(AY177+R177*CONFIGURACION!$B$9,4))</f>
        <v/>
      </c>
      <c r="BF177" s="18" t="str">
        <f>IF($A177="","",ROUND(AY177+R177*CONFIGURACION!$B$13,4))</f>
        <v/>
      </c>
      <c r="BG177" s="18" t="str">
        <f>IF($A177="","",ROUND(AY177+R177*CONFIGURACION!$B$12,4))</f>
        <v/>
      </c>
      <c r="BH177" s="18" t="str">
        <f t="shared" si="57"/>
        <v/>
      </c>
      <c r="BI177" s="18" t="str">
        <f t="shared" si="58"/>
        <v/>
      </c>
      <c r="BJ177" s="18" t="str">
        <f t="shared" si="59"/>
        <v/>
      </c>
      <c r="BK177" s="18" t="str">
        <f t="shared" si="60"/>
        <v/>
      </c>
      <c r="BL177" s="18" t="str">
        <f t="shared" si="61"/>
        <v/>
      </c>
      <c r="BM177" s="18" t="str">
        <f t="shared" si="62"/>
        <v/>
      </c>
      <c r="BN177" s="18" t="str">
        <f t="shared" si="63"/>
        <v/>
      </c>
      <c r="BO177" s="18" t="str">
        <f t="shared" si="64"/>
        <v/>
      </c>
      <c r="BP177" s="18" t="str">
        <f t="shared" si="65"/>
        <v/>
      </c>
      <c r="BQ177" s="16"/>
      <c r="BR177" s="16"/>
      <c r="BS177" s="17"/>
    </row>
    <row r="178" spans="1:71" ht="16.05" customHeight="1" x14ac:dyDescent="0.3">
      <c r="A178" s="16"/>
      <c r="B178" s="16"/>
      <c r="C178" s="17"/>
      <c r="D178" s="17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7" t="str">
        <f t="shared" si="55"/>
        <v/>
      </c>
      <c r="V178" s="17" t="str">
        <f t="shared" si="56"/>
        <v/>
      </c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8" t="str">
        <f>IF($A178="","",ROUND(P178*CONFIGURACION!$B$2+IF(W178&lt;&gt;"",X178*IFERROR(VLOOKUP(W178,'DATOS COSTES POLIAMIDAS'!$A:$G,7,0),0),0)+IF(Y178&lt;&gt;"",Z178*IFERROR(VLOOKUP(Y178,'DATOS COSTES POLIAMIDAS'!$A:$G,7,0),0),0)+IF(AA178&lt;&gt;"",AB178*IFERROR(VLOOKUP(AA178,'DATOS COSTES POLIAMIDAS'!$A:$G,7,0),0),0)+IF(AC178&lt;&gt;"",AD178*IFERROR(VLOOKUP(AC178,'DATOS COSTES POLIAMIDAS'!$A:$G,7,0),0),0)+IF(AE178&lt;&gt;"",IFERROR(VLOOKUP(AE178,'DATOS COSTES MECANIZADOS'!$A:$F,6,0),0),0),4))</f>
        <v/>
      </c>
      <c r="AZ178" s="18" t="str">
        <f>IF($A178="","",ROUND(AY178+R178*CONFIGURACION!$B$6,4))</f>
        <v/>
      </c>
      <c r="BA178" s="18" t="str">
        <f>IF($A178="","",ROUND(AY178+R178*CONFIGURACION!$B$7,4))</f>
        <v/>
      </c>
      <c r="BB178" s="18" t="str">
        <f>IF($A178="","",ROUND(AY178+R178*CONFIGURACION!$B$5,4))</f>
        <v/>
      </c>
      <c r="BC178" s="18" t="str">
        <f>IF($A178="","",ROUND(AY178+R178*CONFIGURACION!$B$10+R178*T178*CONFIGURACION!$B$11,4))</f>
        <v/>
      </c>
      <c r="BD178" s="18" t="str">
        <f>IF($A178="","",ROUND(AY178+R178*CONFIGURACION!$B$8,4))</f>
        <v/>
      </c>
      <c r="BE178" s="18" t="str">
        <f>IF($A178="","",ROUND(AY178+R178*CONFIGURACION!$B$9,4))</f>
        <v/>
      </c>
      <c r="BF178" s="18" t="str">
        <f>IF($A178="","",ROUND(AY178+R178*CONFIGURACION!$B$13,4))</f>
        <v/>
      </c>
      <c r="BG178" s="18" t="str">
        <f>IF($A178="","",ROUND(AY178+R178*CONFIGURACION!$B$12,4))</f>
        <v/>
      </c>
      <c r="BH178" s="18" t="str">
        <f t="shared" si="57"/>
        <v/>
      </c>
      <c r="BI178" s="18" t="str">
        <f t="shared" si="58"/>
        <v/>
      </c>
      <c r="BJ178" s="18" t="str">
        <f t="shared" si="59"/>
        <v/>
      </c>
      <c r="BK178" s="18" t="str">
        <f t="shared" si="60"/>
        <v/>
      </c>
      <c r="BL178" s="18" t="str">
        <f t="shared" si="61"/>
        <v/>
      </c>
      <c r="BM178" s="18" t="str">
        <f t="shared" si="62"/>
        <v/>
      </c>
      <c r="BN178" s="18" t="str">
        <f t="shared" si="63"/>
        <v/>
      </c>
      <c r="BO178" s="18" t="str">
        <f t="shared" si="64"/>
        <v/>
      </c>
      <c r="BP178" s="18" t="str">
        <f t="shared" si="65"/>
        <v/>
      </c>
      <c r="BQ178" s="16"/>
      <c r="BR178" s="16"/>
      <c r="BS178" s="17"/>
    </row>
    <row r="179" spans="1:71" ht="16.05" customHeight="1" x14ac:dyDescent="0.3">
      <c r="A179" s="16"/>
      <c r="B179" s="16"/>
      <c r="C179" s="17"/>
      <c r="D179" s="17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7" t="str">
        <f t="shared" si="55"/>
        <v/>
      </c>
      <c r="V179" s="17" t="str">
        <f t="shared" si="56"/>
        <v/>
      </c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8" t="str">
        <f>IF($A179="","",ROUND(P179*CONFIGURACION!$B$2+IF(W179&lt;&gt;"",X179*IFERROR(VLOOKUP(W179,'DATOS COSTES POLIAMIDAS'!$A:$G,7,0),0),0)+IF(Y179&lt;&gt;"",Z179*IFERROR(VLOOKUP(Y179,'DATOS COSTES POLIAMIDAS'!$A:$G,7,0),0),0)+IF(AA179&lt;&gt;"",AB179*IFERROR(VLOOKUP(AA179,'DATOS COSTES POLIAMIDAS'!$A:$G,7,0),0),0)+IF(AC179&lt;&gt;"",AD179*IFERROR(VLOOKUP(AC179,'DATOS COSTES POLIAMIDAS'!$A:$G,7,0),0),0)+IF(AE179&lt;&gt;"",IFERROR(VLOOKUP(AE179,'DATOS COSTES MECANIZADOS'!$A:$F,6,0),0),0),4))</f>
        <v/>
      </c>
      <c r="AZ179" s="18" t="str">
        <f>IF($A179="","",ROUND(AY179+R179*CONFIGURACION!$B$6,4))</f>
        <v/>
      </c>
      <c r="BA179" s="18" t="str">
        <f>IF($A179="","",ROUND(AY179+R179*CONFIGURACION!$B$7,4))</f>
        <v/>
      </c>
      <c r="BB179" s="18" t="str">
        <f>IF($A179="","",ROUND(AY179+R179*CONFIGURACION!$B$5,4))</f>
        <v/>
      </c>
      <c r="BC179" s="18" t="str">
        <f>IF($A179="","",ROUND(AY179+R179*CONFIGURACION!$B$10+R179*T179*CONFIGURACION!$B$11,4))</f>
        <v/>
      </c>
      <c r="BD179" s="18" t="str">
        <f>IF($A179="","",ROUND(AY179+R179*CONFIGURACION!$B$8,4))</f>
        <v/>
      </c>
      <c r="BE179" s="18" t="str">
        <f>IF($A179="","",ROUND(AY179+R179*CONFIGURACION!$B$9,4))</f>
        <v/>
      </c>
      <c r="BF179" s="18" t="str">
        <f>IF($A179="","",ROUND(AY179+R179*CONFIGURACION!$B$13,4))</f>
        <v/>
      </c>
      <c r="BG179" s="18" t="str">
        <f>IF($A179="","",ROUND(AY179+R179*CONFIGURACION!$B$12,4))</f>
        <v/>
      </c>
      <c r="BH179" s="18" t="str">
        <f t="shared" si="57"/>
        <v/>
      </c>
      <c r="BI179" s="18" t="str">
        <f t="shared" si="58"/>
        <v/>
      </c>
      <c r="BJ179" s="18" t="str">
        <f t="shared" si="59"/>
        <v/>
      </c>
      <c r="BK179" s="18" t="str">
        <f t="shared" si="60"/>
        <v/>
      </c>
      <c r="BL179" s="18" t="str">
        <f t="shared" si="61"/>
        <v/>
      </c>
      <c r="BM179" s="18" t="str">
        <f t="shared" si="62"/>
        <v/>
      </c>
      <c r="BN179" s="18" t="str">
        <f t="shared" si="63"/>
        <v/>
      </c>
      <c r="BO179" s="18" t="str">
        <f t="shared" si="64"/>
        <v/>
      </c>
      <c r="BP179" s="18" t="str">
        <f t="shared" si="65"/>
        <v/>
      </c>
      <c r="BQ179" s="16"/>
      <c r="BR179" s="16"/>
      <c r="BS179" s="17"/>
    </row>
    <row r="180" spans="1:71" ht="16.05" customHeight="1" x14ac:dyDescent="0.3">
      <c r="A180" s="16"/>
      <c r="B180" s="16"/>
      <c r="C180" s="17"/>
      <c r="D180" s="17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7" t="str">
        <f t="shared" si="55"/>
        <v/>
      </c>
      <c r="V180" s="17" t="str">
        <f t="shared" si="56"/>
        <v/>
      </c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8" t="str">
        <f>IF($A180="","",ROUND(P180*CONFIGURACION!$B$2+IF(W180&lt;&gt;"",X180*IFERROR(VLOOKUP(W180,'DATOS COSTES POLIAMIDAS'!$A:$G,7,0),0),0)+IF(Y180&lt;&gt;"",Z180*IFERROR(VLOOKUP(Y180,'DATOS COSTES POLIAMIDAS'!$A:$G,7,0),0),0)+IF(AA180&lt;&gt;"",AB180*IFERROR(VLOOKUP(AA180,'DATOS COSTES POLIAMIDAS'!$A:$G,7,0),0),0)+IF(AC180&lt;&gt;"",AD180*IFERROR(VLOOKUP(AC180,'DATOS COSTES POLIAMIDAS'!$A:$G,7,0),0),0)+IF(AE180&lt;&gt;"",IFERROR(VLOOKUP(AE180,'DATOS COSTES MECANIZADOS'!$A:$F,6,0),0),0),4))</f>
        <v/>
      </c>
      <c r="AZ180" s="18" t="str">
        <f>IF($A180="","",ROUND(AY180+R180*CONFIGURACION!$B$6,4))</f>
        <v/>
      </c>
      <c r="BA180" s="18" t="str">
        <f>IF($A180="","",ROUND(AY180+R180*CONFIGURACION!$B$7,4))</f>
        <v/>
      </c>
      <c r="BB180" s="18" t="str">
        <f>IF($A180="","",ROUND(AY180+R180*CONFIGURACION!$B$5,4))</f>
        <v/>
      </c>
      <c r="BC180" s="18" t="str">
        <f>IF($A180="","",ROUND(AY180+R180*CONFIGURACION!$B$10+R180*T180*CONFIGURACION!$B$11,4))</f>
        <v/>
      </c>
      <c r="BD180" s="18" t="str">
        <f>IF($A180="","",ROUND(AY180+R180*CONFIGURACION!$B$8,4))</f>
        <v/>
      </c>
      <c r="BE180" s="18" t="str">
        <f>IF($A180="","",ROUND(AY180+R180*CONFIGURACION!$B$9,4))</f>
        <v/>
      </c>
      <c r="BF180" s="18" t="str">
        <f>IF($A180="","",ROUND(AY180+R180*CONFIGURACION!$B$13,4))</f>
        <v/>
      </c>
      <c r="BG180" s="18" t="str">
        <f>IF($A180="","",ROUND(AY180+R180*CONFIGURACION!$B$12,4))</f>
        <v/>
      </c>
      <c r="BH180" s="18" t="str">
        <f t="shared" si="57"/>
        <v/>
      </c>
      <c r="BI180" s="18" t="str">
        <f t="shared" si="58"/>
        <v/>
      </c>
      <c r="BJ180" s="18" t="str">
        <f t="shared" si="59"/>
        <v/>
      </c>
      <c r="BK180" s="18" t="str">
        <f t="shared" si="60"/>
        <v/>
      </c>
      <c r="BL180" s="18" t="str">
        <f t="shared" si="61"/>
        <v/>
      </c>
      <c r="BM180" s="18" t="str">
        <f t="shared" si="62"/>
        <v/>
      </c>
      <c r="BN180" s="18" t="str">
        <f t="shared" si="63"/>
        <v/>
      </c>
      <c r="BO180" s="18" t="str">
        <f t="shared" si="64"/>
        <v/>
      </c>
      <c r="BP180" s="18" t="str">
        <f t="shared" si="65"/>
        <v/>
      </c>
      <c r="BQ180" s="16"/>
      <c r="BR180" s="16"/>
      <c r="BS180" s="17"/>
    </row>
    <row r="181" spans="1:71" ht="16.05" customHeight="1" x14ac:dyDescent="0.3">
      <c r="A181" s="16"/>
      <c r="B181" s="16"/>
      <c r="C181" s="17"/>
      <c r="D181" s="17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7" t="str">
        <f t="shared" si="55"/>
        <v/>
      </c>
      <c r="V181" s="17" t="str">
        <f t="shared" si="56"/>
        <v/>
      </c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8" t="str">
        <f>IF($A181="","",ROUND(P181*CONFIGURACION!$B$2+IF(W181&lt;&gt;"",X181*IFERROR(VLOOKUP(W181,'DATOS COSTES POLIAMIDAS'!$A:$G,7,0),0),0)+IF(Y181&lt;&gt;"",Z181*IFERROR(VLOOKUP(Y181,'DATOS COSTES POLIAMIDAS'!$A:$G,7,0),0),0)+IF(AA181&lt;&gt;"",AB181*IFERROR(VLOOKUP(AA181,'DATOS COSTES POLIAMIDAS'!$A:$G,7,0),0),0)+IF(AC181&lt;&gt;"",AD181*IFERROR(VLOOKUP(AC181,'DATOS COSTES POLIAMIDAS'!$A:$G,7,0),0),0)+IF(AE181&lt;&gt;"",IFERROR(VLOOKUP(AE181,'DATOS COSTES MECANIZADOS'!$A:$F,6,0),0),0),4))</f>
        <v/>
      </c>
      <c r="AZ181" s="18" t="str">
        <f>IF($A181="","",ROUND(AY181+R181*CONFIGURACION!$B$6,4))</f>
        <v/>
      </c>
      <c r="BA181" s="18" t="str">
        <f>IF($A181="","",ROUND(AY181+R181*CONFIGURACION!$B$7,4))</f>
        <v/>
      </c>
      <c r="BB181" s="18" t="str">
        <f>IF($A181="","",ROUND(AY181+R181*CONFIGURACION!$B$5,4))</f>
        <v/>
      </c>
      <c r="BC181" s="18" t="str">
        <f>IF($A181="","",ROUND(AY181+R181*CONFIGURACION!$B$10+R181*T181*CONFIGURACION!$B$11,4))</f>
        <v/>
      </c>
      <c r="BD181" s="18" t="str">
        <f>IF($A181="","",ROUND(AY181+R181*CONFIGURACION!$B$8,4))</f>
        <v/>
      </c>
      <c r="BE181" s="18" t="str">
        <f>IF($A181="","",ROUND(AY181+R181*CONFIGURACION!$B$9,4))</f>
        <v/>
      </c>
      <c r="BF181" s="18" t="str">
        <f>IF($A181="","",ROUND(AY181+R181*CONFIGURACION!$B$13,4))</f>
        <v/>
      </c>
      <c r="BG181" s="18" t="str">
        <f>IF($A181="","",ROUND(AY181+R181*CONFIGURACION!$B$12,4))</f>
        <v/>
      </c>
      <c r="BH181" s="18" t="str">
        <f t="shared" si="57"/>
        <v/>
      </c>
      <c r="BI181" s="18" t="str">
        <f t="shared" si="58"/>
        <v/>
      </c>
      <c r="BJ181" s="18" t="str">
        <f t="shared" si="59"/>
        <v/>
      </c>
      <c r="BK181" s="18" t="str">
        <f t="shared" si="60"/>
        <v/>
      </c>
      <c r="BL181" s="18" t="str">
        <f t="shared" si="61"/>
        <v/>
      </c>
      <c r="BM181" s="18" t="str">
        <f t="shared" si="62"/>
        <v/>
      </c>
      <c r="BN181" s="18" t="str">
        <f t="shared" si="63"/>
        <v/>
      </c>
      <c r="BO181" s="18" t="str">
        <f t="shared" si="64"/>
        <v/>
      </c>
      <c r="BP181" s="18" t="str">
        <f t="shared" si="65"/>
        <v/>
      </c>
      <c r="BQ181" s="16"/>
      <c r="BR181" s="16"/>
      <c r="BS181" s="17"/>
    </row>
    <row r="182" spans="1:71" ht="16.05" customHeight="1" x14ac:dyDescent="0.3">
      <c r="A182" s="16"/>
      <c r="B182" s="16"/>
      <c r="C182" s="17"/>
      <c r="D182" s="17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7" t="str">
        <f t="shared" si="55"/>
        <v/>
      </c>
      <c r="V182" s="17" t="str">
        <f t="shared" si="56"/>
        <v/>
      </c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8" t="str">
        <f>IF($A182="","",ROUND(P182*CONFIGURACION!$B$2+IF(W182&lt;&gt;"",X182*IFERROR(VLOOKUP(W182,'DATOS COSTES POLIAMIDAS'!$A:$G,7,0),0),0)+IF(Y182&lt;&gt;"",Z182*IFERROR(VLOOKUP(Y182,'DATOS COSTES POLIAMIDAS'!$A:$G,7,0),0),0)+IF(AA182&lt;&gt;"",AB182*IFERROR(VLOOKUP(AA182,'DATOS COSTES POLIAMIDAS'!$A:$G,7,0),0),0)+IF(AC182&lt;&gt;"",AD182*IFERROR(VLOOKUP(AC182,'DATOS COSTES POLIAMIDAS'!$A:$G,7,0),0),0)+IF(AE182&lt;&gt;"",IFERROR(VLOOKUP(AE182,'DATOS COSTES MECANIZADOS'!$A:$F,6,0),0),0),4))</f>
        <v/>
      </c>
      <c r="AZ182" s="18" t="str">
        <f>IF($A182="","",ROUND(AY182+R182*CONFIGURACION!$B$6,4))</f>
        <v/>
      </c>
      <c r="BA182" s="18" t="str">
        <f>IF($A182="","",ROUND(AY182+R182*CONFIGURACION!$B$7,4))</f>
        <v/>
      </c>
      <c r="BB182" s="18" t="str">
        <f>IF($A182="","",ROUND(AY182+R182*CONFIGURACION!$B$5,4))</f>
        <v/>
      </c>
      <c r="BC182" s="18" t="str">
        <f>IF($A182="","",ROUND(AY182+R182*CONFIGURACION!$B$10+R182*T182*CONFIGURACION!$B$11,4))</f>
        <v/>
      </c>
      <c r="BD182" s="18" t="str">
        <f>IF($A182="","",ROUND(AY182+R182*CONFIGURACION!$B$8,4))</f>
        <v/>
      </c>
      <c r="BE182" s="18" t="str">
        <f>IF($A182="","",ROUND(AY182+R182*CONFIGURACION!$B$9,4))</f>
        <v/>
      </c>
      <c r="BF182" s="18" t="str">
        <f>IF($A182="","",ROUND(AY182+R182*CONFIGURACION!$B$13,4))</f>
        <v/>
      </c>
      <c r="BG182" s="18" t="str">
        <f>IF($A182="","",ROUND(AY182+R182*CONFIGURACION!$B$12,4))</f>
        <v/>
      </c>
      <c r="BH182" s="18" t="str">
        <f t="shared" si="57"/>
        <v/>
      </c>
      <c r="BI182" s="18" t="str">
        <f t="shared" si="58"/>
        <v/>
      </c>
      <c r="BJ182" s="18" t="str">
        <f t="shared" si="59"/>
        <v/>
      </c>
      <c r="BK182" s="18" t="str">
        <f t="shared" si="60"/>
        <v/>
      </c>
      <c r="BL182" s="18" t="str">
        <f t="shared" si="61"/>
        <v/>
      </c>
      <c r="BM182" s="18" t="str">
        <f t="shared" si="62"/>
        <v/>
      </c>
      <c r="BN182" s="18" t="str">
        <f t="shared" si="63"/>
        <v/>
      </c>
      <c r="BO182" s="18" t="str">
        <f t="shared" si="64"/>
        <v/>
      </c>
      <c r="BP182" s="18" t="str">
        <f t="shared" si="65"/>
        <v/>
      </c>
      <c r="BQ182" s="16"/>
      <c r="BR182" s="16"/>
      <c r="BS182" s="17"/>
    </row>
    <row r="183" spans="1:71" ht="16.05" customHeight="1" x14ac:dyDescent="0.3">
      <c r="A183" s="16"/>
      <c r="B183" s="16"/>
      <c r="C183" s="17"/>
      <c r="D183" s="17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7" t="str">
        <f t="shared" si="55"/>
        <v/>
      </c>
      <c r="V183" s="17" t="str">
        <f t="shared" si="56"/>
        <v/>
      </c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8" t="str">
        <f>IF($A183="","",ROUND(P183*CONFIGURACION!$B$2+IF(W183&lt;&gt;"",X183*IFERROR(VLOOKUP(W183,'DATOS COSTES POLIAMIDAS'!$A:$G,7,0),0),0)+IF(Y183&lt;&gt;"",Z183*IFERROR(VLOOKUP(Y183,'DATOS COSTES POLIAMIDAS'!$A:$G,7,0),0),0)+IF(AA183&lt;&gt;"",AB183*IFERROR(VLOOKUP(AA183,'DATOS COSTES POLIAMIDAS'!$A:$G,7,0),0),0)+IF(AC183&lt;&gt;"",AD183*IFERROR(VLOOKUP(AC183,'DATOS COSTES POLIAMIDAS'!$A:$G,7,0),0),0)+IF(AE183&lt;&gt;"",IFERROR(VLOOKUP(AE183,'DATOS COSTES MECANIZADOS'!$A:$F,6,0),0),0),4))</f>
        <v/>
      </c>
      <c r="AZ183" s="18" t="str">
        <f>IF($A183="","",ROUND(AY183+R183*CONFIGURACION!$B$6,4))</f>
        <v/>
      </c>
      <c r="BA183" s="18" t="str">
        <f>IF($A183="","",ROUND(AY183+R183*CONFIGURACION!$B$7,4))</f>
        <v/>
      </c>
      <c r="BB183" s="18" t="str">
        <f>IF($A183="","",ROUND(AY183+R183*CONFIGURACION!$B$5,4))</f>
        <v/>
      </c>
      <c r="BC183" s="18" t="str">
        <f>IF($A183="","",ROUND(AY183+R183*CONFIGURACION!$B$10+R183*T183*CONFIGURACION!$B$11,4))</f>
        <v/>
      </c>
      <c r="BD183" s="18" t="str">
        <f>IF($A183="","",ROUND(AY183+R183*CONFIGURACION!$B$8,4))</f>
        <v/>
      </c>
      <c r="BE183" s="18" t="str">
        <f>IF($A183="","",ROUND(AY183+R183*CONFIGURACION!$B$9,4))</f>
        <v/>
      </c>
      <c r="BF183" s="18" t="str">
        <f>IF($A183="","",ROUND(AY183+R183*CONFIGURACION!$B$13,4))</f>
        <v/>
      </c>
      <c r="BG183" s="18" t="str">
        <f>IF($A183="","",ROUND(AY183+R183*CONFIGURACION!$B$12,4))</f>
        <v/>
      </c>
      <c r="BH183" s="18" t="str">
        <f t="shared" si="57"/>
        <v/>
      </c>
      <c r="BI183" s="18" t="str">
        <f t="shared" si="58"/>
        <v/>
      </c>
      <c r="BJ183" s="18" t="str">
        <f t="shared" si="59"/>
        <v/>
      </c>
      <c r="BK183" s="18" t="str">
        <f t="shared" si="60"/>
        <v/>
      </c>
      <c r="BL183" s="18" t="str">
        <f t="shared" si="61"/>
        <v/>
      </c>
      <c r="BM183" s="18" t="str">
        <f t="shared" si="62"/>
        <v/>
      </c>
      <c r="BN183" s="18" t="str">
        <f t="shared" si="63"/>
        <v/>
      </c>
      <c r="BO183" s="18" t="str">
        <f t="shared" si="64"/>
        <v/>
      </c>
      <c r="BP183" s="18" t="str">
        <f t="shared" si="65"/>
        <v/>
      </c>
      <c r="BQ183" s="16"/>
      <c r="BR183" s="16"/>
      <c r="BS183" s="17"/>
    </row>
    <row r="184" spans="1:71" ht="16.05" customHeight="1" x14ac:dyDescent="0.3">
      <c r="A184" s="16"/>
      <c r="B184" s="16"/>
      <c r="C184" s="17"/>
      <c r="D184" s="17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7" t="str">
        <f t="shared" si="55"/>
        <v/>
      </c>
      <c r="V184" s="17" t="str">
        <f t="shared" si="56"/>
        <v/>
      </c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8" t="str">
        <f>IF($A184="","",ROUND(P184*CONFIGURACION!$B$2+IF(W184&lt;&gt;"",X184*IFERROR(VLOOKUP(W184,'DATOS COSTES POLIAMIDAS'!$A:$G,7,0),0),0)+IF(Y184&lt;&gt;"",Z184*IFERROR(VLOOKUP(Y184,'DATOS COSTES POLIAMIDAS'!$A:$G,7,0),0),0)+IF(AA184&lt;&gt;"",AB184*IFERROR(VLOOKUP(AA184,'DATOS COSTES POLIAMIDAS'!$A:$G,7,0),0),0)+IF(AC184&lt;&gt;"",AD184*IFERROR(VLOOKUP(AC184,'DATOS COSTES POLIAMIDAS'!$A:$G,7,0),0),0)+IF(AE184&lt;&gt;"",IFERROR(VLOOKUP(AE184,'DATOS COSTES MECANIZADOS'!$A:$F,6,0),0),0),4))</f>
        <v/>
      </c>
      <c r="AZ184" s="18" t="str">
        <f>IF($A184="","",ROUND(AY184+R184*CONFIGURACION!$B$6,4))</f>
        <v/>
      </c>
      <c r="BA184" s="18" t="str">
        <f>IF($A184="","",ROUND(AY184+R184*CONFIGURACION!$B$7,4))</f>
        <v/>
      </c>
      <c r="BB184" s="18" t="str">
        <f>IF($A184="","",ROUND(AY184+R184*CONFIGURACION!$B$5,4))</f>
        <v/>
      </c>
      <c r="BC184" s="18" t="str">
        <f>IF($A184="","",ROUND(AY184+R184*CONFIGURACION!$B$10+R184*T184*CONFIGURACION!$B$11,4))</f>
        <v/>
      </c>
      <c r="BD184" s="18" t="str">
        <f>IF($A184="","",ROUND(AY184+R184*CONFIGURACION!$B$8,4))</f>
        <v/>
      </c>
      <c r="BE184" s="18" t="str">
        <f>IF($A184="","",ROUND(AY184+R184*CONFIGURACION!$B$9,4))</f>
        <v/>
      </c>
      <c r="BF184" s="18" t="str">
        <f>IF($A184="","",ROUND(AY184+R184*CONFIGURACION!$B$13,4))</f>
        <v/>
      </c>
      <c r="BG184" s="18" t="str">
        <f>IF($A184="","",ROUND(AY184+R184*CONFIGURACION!$B$12,4))</f>
        <v/>
      </c>
      <c r="BH184" s="18" t="str">
        <f t="shared" si="57"/>
        <v/>
      </c>
      <c r="BI184" s="18" t="str">
        <f t="shared" si="58"/>
        <v/>
      </c>
      <c r="BJ184" s="18" t="str">
        <f t="shared" si="59"/>
        <v/>
      </c>
      <c r="BK184" s="18" t="str">
        <f t="shared" si="60"/>
        <v/>
      </c>
      <c r="BL184" s="18" t="str">
        <f t="shared" si="61"/>
        <v/>
      </c>
      <c r="BM184" s="18" t="str">
        <f t="shared" si="62"/>
        <v/>
      </c>
      <c r="BN184" s="18" t="str">
        <f t="shared" si="63"/>
        <v/>
      </c>
      <c r="BO184" s="18" t="str">
        <f t="shared" si="64"/>
        <v/>
      </c>
      <c r="BP184" s="18" t="str">
        <f t="shared" si="65"/>
        <v/>
      </c>
      <c r="BQ184" s="16"/>
      <c r="BR184" s="16"/>
      <c r="BS184" s="17"/>
    </row>
    <row r="185" spans="1:71" ht="16.05" customHeight="1" x14ac:dyDescent="0.3">
      <c r="A185" s="16"/>
      <c r="B185" s="16"/>
      <c r="C185" s="17"/>
      <c r="D185" s="17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7" t="str">
        <f t="shared" si="55"/>
        <v/>
      </c>
      <c r="V185" s="17" t="str">
        <f t="shared" si="56"/>
        <v/>
      </c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8" t="str">
        <f>IF($A185="","",ROUND(P185*CONFIGURACION!$B$2+IF(W185&lt;&gt;"",X185*IFERROR(VLOOKUP(W185,'DATOS COSTES POLIAMIDAS'!$A:$G,7,0),0),0)+IF(Y185&lt;&gt;"",Z185*IFERROR(VLOOKUP(Y185,'DATOS COSTES POLIAMIDAS'!$A:$G,7,0),0),0)+IF(AA185&lt;&gt;"",AB185*IFERROR(VLOOKUP(AA185,'DATOS COSTES POLIAMIDAS'!$A:$G,7,0),0),0)+IF(AC185&lt;&gt;"",AD185*IFERROR(VLOOKUP(AC185,'DATOS COSTES POLIAMIDAS'!$A:$G,7,0),0),0)+IF(AE185&lt;&gt;"",IFERROR(VLOOKUP(AE185,'DATOS COSTES MECANIZADOS'!$A:$F,6,0),0),0),4))</f>
        <v/>
      </c>
      <c r="AZ185" s="18" t="str">
        <f>IF($A185="","",ROUND(AY185+R185*CONFIGURACION!$B$6,4))</f>
        <v/>
      </c>
      <c r="BA185" s="18" t="str">
        <f>IF($A185="","",ROUND(AY185+R185*CONFIGURACION!$B$7,4))</f>
        <v/>
      </c>
      <c r="BB185" s="18" t="str">
        <f>IF($A185="","",ROUND(AY185+R185*CONFIGURACION!$B$5,4))</f>
        <v/>
      </c>
      <c r="BC185" s="18" t="str">
        <f>IF($A185="","",ROUND(AY185+R185*CONFIGURACION!$B$10+R185*T185*CONFIGURACION!$B$11,4))</f>
        <v/>
      </c>
      <c r="BD185" s="18" t="str">
        <f>IF($A185="","",ROUND(AY185+R185*CONFIGURACION!$B$8,4))</f>
        <v/>
      </c>
      <c r="BE185" s="18" t="str">
        <f>IF($A185="","",ROUND(AY185+R185*CONFIGURACION!$B$9,4))</f>
        <v/>
      </c>
      <c r="BF185" s="18" t="str">
        <f>IF($A185="","",ROUND(AY185+R185*CONFIGURACION!$B$13,4))</f>
        <v/>
      </c>
      <c r="BG185" s="18" t="str">
        <f>IF($A185="","",ROUND(AY185+R185*CONFIGURACION!$B$12,4))</f>
        <v/>
      </c>
      <c r="BH185" s="18" t="str">
        <f t="shared" si="57"/>
        <v/>
      </c>
      <c r="BI185" s="18" t="str">
        <f t="shared" si="58"/>
        <v/>
      </c>
      <c r="BJ185" s="18" t="str">
        <f t="shared" si="59"/>
        <v/>
      </c>
      <c r="BK185" s="18" t="str">
        <f t="shared" si="60"/>
        <v/>
      </c>
      <c r="BL185" s="18" t="str">
        <f t="shared" si="61"/>
        <v/>
      </c>
      <c r="BM185" s="18" t="str">
        <f t="shared" si="62"/>
        <v/>
      </c>
      <c r="BN185" s="18" t="str">
        <f t="shared" si="63"/>
        <v/>
      </c>
      <c r="BO185" s="18" t="str">
        <f t="shared" si="64"/>
        <v/>
      </c>
      <c r="BP185" s="18" t="str">
        <f t="shared" si="65"/>
        <v/>
      </c>
      <c r="BQ185" s="16"/>
      <c r="BR185" s="16"/>
      <c r="BS185" s="17"/>
    </row>
    <row r="186" spans="1:71" ht="16.05" customHeight="1" x14ac:dyDescent="0.3">
      <c r="A186" s="16"/>
      <c r="B186" s="16"/>
      <c r="C186" s="17"/>
      <c r="D186" s="17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7" t="str">
        <f t="shared" si="55"/>
        <v/>
      </c>
      <c r="V186" s="17" t="str">
        <f t="shared" si="56"/>
        <v/>
      </c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8" t="str">
        <f>IF($A186="","",ROUND(P186*CONFIGURACION!$B$2+IF(W186&lt;&gt;"",X186*IFERROR(VLOOKUP(W186,'DATOS COSTES POLIAMIDAS'!$A:$G,7,0),0),0)+IF(Y186&lt;&gt;"",Z186*IFERROR(VLOOKUP(Y186,'DATOS COSTES POLIAMIDAS'!$A:$G,7,0),0),0)+IF(AA186&lt;&gt;"",AB186*IFERROR(VLOOKUP(AA186,'DATOS COSTES POLIAMIDAS'!$A:$G,7,0),0),0)+IF(AC186&lt;&gt;"",AD186*IFERROR(VLOOKUP(AC186,'DATOS COSTES POLIAMIDAS'!$A:$G,7,0),0),0)+IF(AE186&lt;&gt;"",IFERROR(VLOOKUP(AE186,'DATOS COSTES MECANIZADOS'!$A:$F,6,0),0),0),4))</f>
        <v/>
      </c>
      <c r="AZ186" s="18" t="str">
        <f>IF($A186="","",ROUND(AY186+R186*CONFIGURACION!$B$6,4))</f>
        <v/>
      </c>
      <c r="BA186" s="18" t="str">
        <f>IF($A186="","",ROUND(AY186+R186*CONFIGURACION!$B$7,4))</f>
        <v/>
      </c>
      <c r="BB186" s="18" t="str">
        <f>IF($A186="","",ROUND(AY186+R186*CONFIGURACION!$B$5,4))</f>
        <v/>
      </c>
      <c r="BC186" s="18" t="str">
        <f>IF($A186="","",ROUND(AY186+R186*CONFIGURACION!$B$10+R186*T186*CONFIGURACION!$B$11,4))</f>
        <v/>
      </c>
      <c r="BD186" s="18" t="str">
        <f>IF($A186="","",ROUND(AY186+R186*CONFIGURACION!$B$8,4))</f>
        <v/>
      </c>
      <c r="BE186" s="18" t="str">
        <f>IF($A186="","",ROUND(AY186+R186*CONFIGURACION!$B$9,4))</f>
        <v/>
      </c>
      <c r="BF186" s="18" t="str">
        <f>IF($A186="","",ROUND(AY186+R186*CONFIGURACION!$B$13,4))</f>
        <v/>
      </c>
      <c r="BG186" s="18" t="str">
        <f>IF($A186="","",ROUND(AY186+R186*CONFIGURACION!$B$12,4))</f>
        <v/>
      </c>
      <c r="BH186" s="18" t="str">
        <f t="shared" si="57"/>
        <v/>
      </c>
      <c r="BI186" s="18" t="str">
        <f t="shared" si="58"/>
        <v/>
      </c>
      <c r="BJ186" s="18" t="str">
        <f t="shared" si="59"/>
        <v/>
      </c>
      <c r="BK186" s="18" t="str">
        <f t="shared" si="60"/>
        <v/>
      </c>
      <c r="BL186" s="18" t="str">
        <f t="shared" si="61"/>
        <v/>
      </c>
      <c r="BM186" s="18" t="str">
        <f t="shared" si="62"/>
        <v/>
      </c>
      <c r="BN186" s="18" t="str">
        <f t="shared" si="63"/>
        <v/>
      </c>
      <c r="BO186" s="18" t="str">
        <f t="shared" si="64"/>
        <v/>
      </c>
      <c r="BP186" s="18" t="str">
        <f t="shared" si="65"/>
        <v/>
      </c>
      <c r="BQ186" s="16"/>
      <c r="BR186" s="16"/>
      <c r="BS186" s="17"/>
    </row>
    <row r="187" spans="1:71" ht="16.05" customHeight="1" x14ac:dyDescent="0.3">
      <c r="A187" s="16"/>
      <c r="B187" s="16"/>
      <c r="C187" s="17"/>
      <c r="D187" s="17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7" t="str">
        <f t="shared" si="55"/>
        <v/>
      </c>
      <c r="V187" s="17" t="str">
        <f t="shared" si="56"/>
        <v/>
      </c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8" t="str">
        <f>IF($A187="","",ROUND(P187*CONFIGURACION!$B$2+IF(W187&lt;&gt;"",X187*IFERROR(VLOOKUP(W187,'DATOS COSTES POLIAMIDAS'!$A:$G,7,0),0),0)+IF(Y187&lt;&gt;"",Z187*IFERROR(VLOOKUP(Y187,'DATOS COSTES POLIAMIDAS'!$A:$G,7,0),0),0)+IF(AA187&lt;&gt;"",AB187*IFERROR(VLOOKUP(AA187,'DATOS COSTES POLIAMIDAS'!$A:$G,7,0),0),0)+IF(AC187&lt;&gt;"",AD187*IFERROR(VLOOKUP(AC187,'DATOS COSTES POLIAMIDAS'!$A:$G,7,0),0),0)+IF(AE187&lt;&gt;"",IFERROR(VLOOKUP(AE187,'DATOS COSTES MECANIZADOS'!$A:$F,6,0),0),0),4))</f>
        <v/>
      </c>
      <c r="AZ187" s="18" t="str">
        <f>IF($A187="","",ROUND(AY187+R187*CONFIGURACION!$B$6,4))</f>
        <v/>
      </c>
      <c r="BA187" s="18" t="str">
        <f>IF($A187="","",ROUND(AY187+R187*CONFIGURACION!$B$7,4))</f>
        <v/>
      </c>
      <c r="BB187" s="18" t="str">
        <f>IF($A187="","",ROUND(AY187+R187*CONFIGURACION!$B$5,4))</f>
        <v/>
      </c>
      <c r="BC187" s="18" t="str">
        <f>IF($A187="","",ROUND(AY187+R187*CONFIGURACION!$B$10+R187*T187*CONFIGURACION!$B$11,4))</f>
        <v/>
      </c>
      <c r="BD187" s="18" t="str">
        <f>IF($A187="","",ROUND(AY187+R187*CONFIGURACION!$B$8,4))</f>
        <v/>
      </c>
      <c r="BE187" s="18" t="str">
        <f>IF($A187="","",ROUND(AY187+R187*CONFIGURACION!$B$9,4))</f>
        <v/>
      </c>
      <c r="BF187" s="18" t="str">
        <f>IF($A187="","",ROUND(AY187+R187*CONFIGURACION!$B$13,4))</f>
        <v/>
      </c>
      <c r="BG187" s="18" t="str">
        <f>IF($A187="","",ROUND(AY187+R187*CONFIGURACION!$B$12,4))</f>
        <v/>
      </c>
      <c r="BH187" s="18" t="str">
        <f t="shared" si="57"/>
        <v/>
      </c>
      <c r="BI187" s="18" t="str">
        <f t="shared" si="58"/>
        <v/>
      </c>
      <c r="BJ187" s="18" t="str">
        <f t="shared" si="59"/>
        <v/>
      </c>
      <c r="BK187" s="18" t="str">
        <f t="shared" si="60"/>
        <v/>
      </c>
      <c r="BL187" s="18" t="str">
        <f t="shared" si="61"/>
        <v/>
      </c>
      <c r="BM187" s="18" t="str">
        <f t="shared" si="62"/>
        <v/>
      </c>
      <c r="BN187" s="18" t="str">
        <f t="shared" si="63"/>
        <v/>
      </c>
      <c r="BO187" s="18" t="str">
        <f t="shared" si="64"/>
        <v/>
      </c>
      <c r="BP187" s="18" t="str">
        <f t="shared" si="65"/>
        <v/>
      </c>
      <c r="BQ187" s="16"/>
      <c r="BR187" s="16"/>
      <c r="BS187" s="17"/>
    </row>
    <row r="188" spans="1:71" ht="16.05" customHeight="1" x14ac:dyDescent="0.3">
      <c r="A188" s="16"/>
      <c r="B188" s="16"/>
      <c r="C188" s="17"/>
      <c r="D188" s="17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7" t="str">
        <f t="shared" si="55"/>
        <v/>
      </c>
      <c r="V188" s="17" t="str">
        <f t="shared" si="56"/>
        <v/>
      </c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8" t="str">
        <f>IF($A188="","",ROUND(P188*CONFIGURACION!$B$2+IF(W188&lt;&gt;"",X188*IFERROR(VLOOKUP(W188,'DATOS COSTES POLIAMIDAS'!$A:$G,7,0),0),0)+IF(Y188&lt;&gt;"",Z188*IFERROR(VLOOKUP(Y188,'DATOS COSTES POLIAMIDAS'!$A:$G,7,0),0),0)+IF(AA188&lt;&gt;"",AB188*IFERROR(VLOOKUP(AA188,'DATOS COSTES POLIAMIDAS'!$A:$G,7,0),0),0)+IF(AC188&lt;&gt;"",AD188*IFERROR(VLOOKUP(AC188,'DATOS COSTES POLIAMIDAS'!$A:$G,7,0),0),0)+IF(AE188&lt;&gt;"",IFERROR(VLOOKUP(AE188,'DATOS COSTES MECANIZADOS'!$A:$F,6,0),0),0),4))</f>
        <v/>
      </c>
      <c r="AZ188" s="18" t="str">
        <f>IF($A188="","",ROUND(AY188+R188*CONFIGURACION!$B$6,4))</f>
        <v/>
      </c>
      <c r="BA188" s="18" t="str">
        <f>IF($A188="","",ROUND(AY188+R188*CONFIGURACION!$B$7,4))</f>
        <v/>
      </c>
      <c r="BB188" s="18" t="str">
        <f>IF($A188="","",ROUND(AY188+R188*CONFIGURACION!$B$5,4))</f>
        <v/>
      </c>
      <c r="BC188" s="18" t="str">
        <f>IF($A188="","",ROUND(AY188+R188*CONFIGURACION!$B$10+R188*T188*CONFIGURACION!$B$11,4))</f>
        <v/>
      </c>
      <c r="BD188" s="18" t="str">
        <f>IF($A188="","",ROUND(AY188+R188*CONFIGURACION!$B$8,4))</f>
        <v/>
      </c>
      <c r="BE188" s="18" t="str">
        <f>IF($A188="","",ROUND(AY188+R188*CONFIGURACION!$B$9,4))</f>
        <v/>
      </c>
      <c r="BF188" s="18" t="str">
        <f>IF($A188="","",ROUND(AY188+R188*CONFIGURACION!$B$13,4))</f>
        <v/>
      </c>
      <c r="BG188" s="18" t="str">
        <f>IF($A188="","",ROUND(AY188+R188*CONFIGURACION!$B$12,4))</f>
        <v/>
      </c>
      <c r="BH188" s="18" t="str">
        <f t="shared" si="57"/>
        <v/>
      </c>
      <c r="BI188" s="18" t="str">
        <f t="shared" si="58"/>
        <v/>
      </c>
      <c r="BJ188" s="18" t="str">
        <f t="shared" si="59"/>
        <v/>
      </c>
      <c r="BK188" s="18" t="str">
        <f t="shared" si="60"/>
        <v/>
      </c>
      <c r="BL188" s="18" t="str">
        <f t="shared" si="61"/>
        <v/>
      </c>
      <c r="BM188" s="18" t="str">
        <f t="shared" si="62"/>
        <v/>
      </c>
      <c r="BN188" s="18" t="str">
        <f t="shared" si="63"/>
        <v/>
      </c>
      <c r="BO188" s="18" t="str">
        <f t="shared" si="64"/>
        <v/>
      </c>
      <c r="BP188" s="18" t="str">
        <f t="shared" si="65"/>
        <v/>
      </c>
      <c r="BQ188" s="16"/>
      <c r="BR188" s="16"/>
      <c r="BS188" s="17"/>
    </row>
    <row r="189" spans="1:71" ht="16.05" customHeight="1" x14ac:dyDescent="0.3">
      <c r="A189" s="16"/>
      <c r="B189" s="16"/>
      <c r="C189" s="17"/>
      <c r="D189" s="17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7" t="str">
        <f t="shared" si="55"/>
        <v/>
      </c>
      <c r="V189" s="17" t="str">
        <f t="shared" si="56"/>
        <v/>
      </c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8" t="str">
        <f>IF($A189="","",ROUND(P189*CONFIGURACION!$B$2+IF(W189&lt;&gt;"",X189*IFERROR(VLOOKUP(W189,'DATOS COSTES POLIAMIDAS'!$A:$G,7,0),0),0)+IF(Y189&lt;&gt;"",Z189*IFERROR(VLOOKUP(Y189,'DATOS COSTES POLIAMIDAS'!$A:$G,7,0),0),0)+IF(AA189&lt;&gt;"",AB189*IFERROR(VLOOKUP(AA189,'DATOS COSTES POLIAMIDAS'!$A:$G,7,0),0),0)+IF(AC189&lt;&gt;"",AD189*IFERROR(VLOOKUP(AC189,'DATOS COSTES POLIAMIDAS'!$A:$G,7,0),0),0)+IF(AE189&lt;&gt;"",IFERROR(VLOOKUP(AE189,'DATOS COSTES MECANIZADOS'!$A:$F,6,0),0),0),4))</f>
        <v/>
      </c>
      <c r="AZ189" s="18" t="str">
        <f>IF($A189="","",ROUND(AY189+R189*CONFIGURACION!$B$6,4))</f>
        <v/>
      </c>
      <c r="BA189" s="18" t="str">
        <f>IF($A189="","",ROUND(AY189+R189*CONFIGURACION!$B$7,4))</f>
        <v/>
      </c>
      <c r="BB189" s="18" t="str">
        <f>IF($A189="","",ROUND(AY189+R189*CONFIGURACION!$B$5,4))</f>
        <v/>
      </c>
      <c r="BC189" s="18" t="str">
        <f>IF($A189="","",ROUND(AY189+R189*CONFIGURACION!$B$10+R189*T189*CONFIGURACION!$B$11,4))</f>
        <v/>
      </c>
      <c r="BD189" s="18" t="str">
        <f>IF($A189="","",ROUND(AY189+R189*CONFIGURACION!$B$8,4))</f>
        <v/>
      </c>
      <c r="BE189" s="18" t="str">
        <f>IF($A189="","",ROUND(AY189+R189*CONFIGURACION!$B$9,4))</f>
        <v/>
      </c>
      <c r="BF189" s="18" t="str">
        <f>IF($A189="","",ROUND(AY189+R189*CONFIGURACION!$B$13,4))</f>
        <v/>
      </c>
      <c r="BG189" s="18" t="str">
        <f>IF($A189="","",ROUND(AY189+R189*CONFIGURACION!$B$12,4))</f>
        <v/>
      </c>
      <c r="BH189" s="18" t="str">
        <f t="shared" si="57"/>
        <v/>
      </c>
      <c r="BI189" s="18" t="str">
        <f t="shared" si="58"/>
        <v/>
      </c>
      <c r="BJ189" s="18" t="str">
        <f t="shared" si="59"/>
        <v/>
      </c>
      <c r="BK189" s="18" t="str">
        <f t="shared" si="60"/>
        <v/>
      </c>
      <c r="BL189" s="18" t="str">
        <f t="shared" si="61"/>
        <v/>
      </c>
      <c r="BM189" s="18" t="str">
        <f t="shared" si="62"/>
        <v/>
      </c>
      <c r="BN189" s="18" t="str">
        <f t="shared" si="63"/>
        <v/>
      </c>
      <c r="BO189" s="18" t="str">
        <f t="shared" si="64"/>
        <v/>
      </c>
      <c r="BP189" s="18" t="str">
        <f t="shared" si="65"/>
        <v/>
      </c>
      <c r="BQ189" s="16"/>
      <c r="BR189" s="16"/>
      <c r="BS189" s="17"/>
    </row>
    <row r="190" spans="1:71" ht="16.05" customHeight="1" x14ac:dyDescent="0.3">
      <c r="A190" s="16"/>
      <c r="B190" s="16"/>
      <c r="C190" s="17"/>
      <c r="D190" s="17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7" t="str">
        <f t="shared" si="55"/>
        <v/>
      </c>
      <c r="V190" s="17" t="str">
        <f t="shared" si="56"/>
        <v/>
      </c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8" t="str">
        <f>IF($A190="","",ROUND(P190*CONFIGURACION!$B$2+IF(W190&lt;&gt;"",X190*IFERROR(VLOOKUP(W190,'DATOS COSTES POLIAMIDAS'!$A:$G,7,0),0),0)+IF(Y190&lt;&gt;"",Z190*IFERROR(VLOOKUP(Y190,'DATOS COSTES POLIAMIDAS'!$A:$G,7,0),0),0)+IF(AA190&lt;&gt;"",AB190*IFERROR(VLOOKUP(AA190,'DATOS COSTES POLIAMIDAS'!$A:$G,7,0),0),0)+IF(AC190&lt;&gt;"",AD190*IFERROR(VLOOKUP(AC190,'DATOS COSTES POLIAMIDAS'!$A:$G,7,0),0),0)+IF(AE190&lt;&gt;"",IFERROR(VLOOKUP(AE190,'DATOS COSTES MECANIZADOS'!$A:$F,6,0),0),0),4))</f>
        <v/>
      </c>
      <c r="AZ190" s="18" t="str">
        <f>IF($A190="","",ROUND(AY190+R190*CONFIGURACION!$B$6,4))</f>
        <v/>
      </c>
      <c r="BA190" s="18" t="str">
        <f>IF($A190="","",ROUND(AY190+R190*CONFIGURACION!$B$7,4))</f>
        <v/>
      </c>
      <c r="BB190" s="18" t="str">
        <f>IF($A190="","",ROUND(AY190+R190*CONFIGURACION!$B$5,4))</f>
        <v/>
      </c>
      <c r="BC190" s="18" t="str">
        <f>IF($A190="","",ROUND(AY190+R190*CONFIGURACION!$B$10+R190*T190*CONFIGURACION!$B$11,4))</f>
        <v/>
      </c>
      <c r="BD190" s="18" t="str">
        <f>IF($A190="","",ROUND(AY190+R190*CONFIGURACION!$B$8,4))</f>
        <v/>
      </c>
      <c r="BE190" s="18" t="str">
        <f>IF($A190="","",ROUND(AY190+R190*CONFIGURACION!$B$9,4))</f>
        <v/>
      </c>
      <c r="BF190" s="18" t="str">
        <f>IF($A190="","",ROUND(AY190+R190*CONFIGURACION!$B$13,4))</f>
        <v/>
      </c>
      <c r="BG190" s="18" t="str">
        <f>IF($A190="","",ROUND(AY190+R190*CONFIGURACION!$B$12,4))</f>
        <v/>
      </c>
      <c r="BH190" s="18" t="str">
        <f t="shared" si="57"/>
        <v/>
      </c>
      <c r="BI190" s="18" t="str">
        <f t="shared" si="58"/>
        <v/>
      </c>
      <c r="BJ190" s="18" t="str">
        <f t="shared" si="59"/>
        <v/>
      </c>
      <c r="BK190" s="18" t="str">
        <f t="shared" si="60"/>
        <v/>
      </c>
      <c r="BL190" s="18" t="str">
        <f t="shared" si="61"/>
        <v/>
      </c>
      <c r="BM190" s="18" t="str">
        <f t="shared" si="62"/>
        <v/>
      </c>
      <c r="BN190" s="18" t="str">
        <f t="shared" si="63"/>
        <v/>
      </c>
      <c r="BO190" s="18" t="str">
        <f t="shared" si="64"/>
        <v/>
      </c>
      <c r="BP190" s="18" t="str">
        <f t="shared" si="65"/>
        <v/>
      </c>
      <c r="BQ190" s="16"/>
      <c r="BR190" s="16"/>
      <c r="BS190" s="17"/>
    </row>
    <row r="191" spans="1:71" ht="16.05" customHeight="1" x14ac:dyDescent="0.3">
      <c r="A191" s="16"/>
      <c r="B191" s="16"/>
      <c r="C191" s="17"/>
      <c r="D191" s="17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7" t="str">
        <f t="shared" si="55"/>
        <v/>
      </c>
      <c r="V191" s="17" t="str">
        <f t="shared" si="56"/>
        <v/>
      </c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8" t="str">
        <f>IF($A191="","",ROUND(P191*CONFIGURACION!$B$2+IF(W191&lt;&gt;"",X191*IFERROR(VLOOKUP(W191,'DATOS COSTES POLIAMIDAS'!$A:$G,7,0),0),0)+IF(Y191&lt;&gt;"",Z191*IFERROR(VLOOKUP(Y191,'DATOS COSTES POLIAMIDAS'!$A:$G,7,0),0),0)+IF(AA191&lt;&gt;"",AB191*IFERROR(VLOOKUP(AA191,'DATOS COSTES POLIAMIDAS'!$A:$G,7,0),0),0)+IF(AC191&lt;&gt;"",AD191*IFERROR(VLOOKUP(AC191,'DATOS COSTES POLIAMIDAS'!$A:$G,7,0),0),0)+IF(AE191&lt;&gt;"",IFERROR(VLOOKUP(AE191,'DATOS COSTES MECANIZADOS'!$A:$F,6,0),0),0),4))</f>
        <v/>
      </c>
      <c r="AZ191" s="18" t="str">
        <f>IF($A191="","",ROUND(AY191+R191*CONFIGURACION!$B$6,4))</f>
        <v/>
      </c>
      <c r="BA191" s="18" t="str">
        <f>IF($A191="","",ROUND(AY191+R191*CONFIGURACION!$B$7,4))</f>
        <v/>
      </c>
      <c r="BB191" s="18" t="str">
        <f>IF($A191="","",ROUND(AY191+R191*CONFIGURACION!$B$5,4))</f>
        <v/>
      </c>
      <c r="BC191" s="18" t="str">
        <f>IF($A191="","",ROUND(AY191+R191*CONFIGURACION!$B$10+R191*T191*CONFIGURACION!$B$11,4))</f>
        <v/>
      </c>
      <c r="BD191" s="18" t="str">
        <f>IF($A191="","",ROUND(AY191+R191*CONFIGURACION!$B$8,4))</f>
        <v/>
      </c>
      <c r="BE191" s="18" t="str">
        <f>IF($A191="","",ROUND(AY191+R191*CONFIGURACION!$B$9,4))</f>
        <v/>
      </c>
      <c r="BF191" s="18" t="str">
        <f>IF($A191="","",ROUND(AY191+R191*CONFIGURACION!$B$13,4))</f>
        <v/>
      </c>
      <c r="BG191" s="18" t="str">
        <f>IF($A191="","",ROUND(AY191+R191*CONFIGURACION!$B$12,4))</f>
        <v/>
      </c>
      <c r="BH191" s="18" t="str">
        <f t="shared" si="57"/>
        <v/>
      </c>
      <c r="BI191" s="18" t="str">
        <f t="shared" si="58"/>
        <v/>
      </c>
      <c r="BJ191" s="18" t="str">
        <f t="shared" si="59"/>
        <v/>
      </c>
      <c r="BK191" s="18" t="str">
        <f t="shared" si="60"/>
        <v/>
      </c>
      <c r="BL191" s="18" t="str">
        <f t="shared" si="61"/>
        <v/>
      </c>
      <c r="BM191" s="18" t="str">
        <f t="shared" si="62"/>
        <v/>
      </c>
      <c r="BN191" s="18" t="str">
        <f t="shared" si="63"/>
        <v/>
      </c>
      <c r="BO191" s="18" t="str">
        <f t="shared" si="64"/>
        <v/>
      </c>
      <c r="BP191" s="18" t="str">
        <f t="shared" si="65"/>
        <v/>
      </c>
      <c r="BQ191" s="16"/>
      <c r="BR191" s="16"/>
      <c r="BS191" s="17"/>
    </row>
    <row r="192" spans="1:71" ht="16.05" customHeight="1" x14ac:dyDescent="0.3">
      <c r="A192" s="16"/>
      <c r="B192" s="16"/>
      <c r="C192" s="17"/>
      <c r="D192" s="17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7" t="str">
        <f t="shared" si="55"/>
        <v/>
      </c>
      <c r="V192" s="17" t="str">
        <f t="shared" si="56"/>
        <v/>
      </c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8" t="str">
        <f>IF($A192="","",ROUND(P192*CONFIGURACION!$B$2+IF(W192&lt;&gt;"",X192*IFERROR(VLOOKUP(W192,'DATOS COSTES POLIAMIDAS'!$A:$G,7,0),0),0)+IF(Y192&lt;&gt;"",Z192*IFERROR(VLOOKUP(Y192,'DATOS COSTES POLIAMIDAS'!$A:$G,7,0),0),0)+IF(AA192&lt;&gt;"",AB192*IFERROR(VLOOKUP(AA192,'DATOS COSTES POLIAMIDAS'!$A:$G,7,0),0),0)+IF(AC192&lt;&gt;"",AD192*IFERROR(VLOOKUP(AC192,'DATOS COSTES POLIAMIDAS'!$A:$G,7,0),0),0)+IF(AE192&lt;&gt;"",IFERROR(VLOOKUP(AE192,'DATOS COSTES MECANIZADOS'!$A:$F,6,0),0),0),4))</f>
        <v/>
      </c>
      <c r="AZ192" s="18" t="str">
        <f>IF($A192="","",ROUND(AY192+R192*CONFIGURACION!$B$6,4))</f>
        <v/>
      </c>
      <c r="BA192" s="18" t="str">
        <f>IF($A192="","",ROUND(AY192+R192*CONFIGURACION!$B$7,4))</f>
        <v/>
      </c>
      <c r="BB192" s="18" t="str">
        <f>IF($A192="","",ROUND(AY192+R192*CONFIGURACION!$B$5,4))</f>
        <v/>
      </c>
      <c r="BC192" s="18" t="str">
        <f>IF($A192="","",ROUND(AY192+R192*CONFIGURACION!$B$10+R192*T192*CONFIGURACION!$B$11,4))</f>
        <v/>
      </c>
      <c r="BD192" s="18" t="str">
        <f>IF($A192="","",ROUND(AY192+R192*CONFIGURACION!$B$8,4))</f>
        <v/>
      </c>
      <c r="BE192" s="18" t="str">
        <f>IF($A192="","",ROUND(AY192+R192*CONFIGURACION!$B$9,4))</f>
        <v/>
      </c>
      <c r="BF192" s="18" t="str">
        <f>IF($A192="","",ROUND(AY192+R192*CONFIGURACION!$B$13,4))</f>
        <v/>
      </c>
      <c r="BG192" s="18" t="str">
        <f>IF($A192="","",ROUND(AY192+R192*CONFIGURACION!$B$12,4))</f>
        <v/>
      </c>
      <c r="BH192" s="18" t="str">
        <f t="shared" si="57"/>
        <v/>
      </c>
      <c r="BI192" s="18" t="str">
        <f t="shared" si="58"/>
        <v/>
      </c>
      <c r="BJ192" s="18" t="str">
        <f t="shared" si="59"/>
        <v/>
      </c>
      <c r="BK192" s="18" t="str">
        <f t="shared" si="60"/>
        <v/>
      </c>
      <c r="BL192" s="18" t="str">
        <f t="shared" si="61"/>
        <v/>
      </c>
      <c r="BM192" s="18" t="str">
        <f t="shared" si="62"/>
        <v/>
      </c>
      <c r="BN192" s="18" t="str">
        <f t="shared" si="63"/>
        <v/>
      </c>
      <c r="BO192" s="18" t="str">
        <f t="shared" si="64"/>
        <v/>
      </c>
      <c r="BP192" s="18" t="str">
        <f t="shared" si="65"/>
        <v/>
      </c>
      <c r="BQ192" s="16"/>
      <c r="BR192" s="16"/>
      <c r="BS192" s="17"/>
    </row>
    <row r="193" spans="1:71" ht="16.05" customHeight="1" x14ac:dyDescent="0.3">
      <c r="A193" s="16"/>
      <c r="B193" s="16"/>
      <c r="C193" s="17"/>
      <c r="D193" s="17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7" t="str">
        <f t="shared" si="55"/>
        <v/>
      </c>
      <c r="V193" s="17" t="str">
        <f t="shared" si="56"/>
        <v/>
      </c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8" t="str">
        <f>IF($A193="","",ROUND(P193*CONFIGURACION!$B$2+IF(W193&lt;&gt;"",X193*IFERROR(VLOOKUP(W193,'DATOS COSTES POLIAMIDAS'!$A:$G,7,0),0),0)+IF(Y193&lt;&gt;"",Z193*IFERROR(VLOOKUP(Y193,'DATOS COSTES POLIAMIDAS'!$A:$G,7,0),0),0)+IF(AA193&lt;&gt;"",AB193*IFERROR(VLOOKUP(AA193,'DATOS COSTES POLIAMIDAS'!$A:$G,7,0),0),0)+IF(AC193&lt;&gt;"",AD193*IFERROR(VLOOKUP(AC193,'DATOS COSTES POLIAMIDAS'!$A:$G,7,0),0),0)+IF(AE193&lt;&gt;"",IFERROR(VLOOKUP(AE193,'DATOS COSTES MECANIZADOS'!$A:$F,6,0),0),0),4))</f>
        <v/>
      </c>
      <c r="AZ193" s="18" t="str">
        <f>IF($A193="","",ROUND(AY193+R193*CONFIGURACION!$B$6,4))</f>
        <v/>
      </c>
      <c r="BA193" s="18" t="str">
        <f>IF($A193="","",ROUND(AY193+R193*CONFIGURACION!$B$7,4))</f>
        <v/>
      </c>
      <c r="BB193" s="18" t="str">
        <f>IF($A193="","",ROUND(AY193+R193*CONFIGURACION!$B$5,4))</f>
        <v/>
      </c>
      <c r="BC193" s="18" t="str">
        <f>IF($A193="","",ROUND(AY193+R193*CONFIGURACION!$B$10+R193*T193*CONFIGURACION!$B$11,4))</f>
        <v/>
      </c>
      <c r="BD193" s="18" t="str">
        <f>IF($A193="","",ROUND(AY193+R193*CONFIGURACION!$B$8,4))</f>
        <v/>
      </c>
      <c r="BE193" s="18" t="str">
        <f>IF($A193="","",ROUND(AY193+R193*CONFIGURACION!$B$9,4))</f>
        <v/>
      </c>
      <c r="BF193" s="18" t="str">
        <f>IF($A193="","",ROUND(AY193+R193*CONFIGURACION!$B$13,4))</f>
        <v/>
      </c>
      <c r="BG193" s="18" t="str">
        <f>IF($A193="","",ROUND(AY193+R193*CONFIGURACION!$B$12,4))</f>
        <v/>
      </c>
      <c r="BH193" s="18" t="str">
        <f t="shared" si="57"/>
        <v/>
      </c>
      <c r="BI193" s="18" t="str">
        <f t="shared" si="58"/>
        <v/>
      </c>
      <c r="BJ193" s="18" t="str">
        <f t="shared" si="59"/>
        <v/>
      </c>
      <c r="BK193" s="18" t="str">
        <f t="shared" si="60"/>
        <v/>
      </c>
      <c r="BL193" s="18" t="str">
        <f t="shared" si="61"/>
        <v/>
      </c>
      <c r="BM193" s="18" t="str">
        <f t="shared" si="62"/>
        <v/>
      </c>
      <c r="BN193" s="18" t="str">
        <f t="shared" si="63"/>
        <v/>
      </c>
      <c r="BO193" s="18" t="str">
        <f t="shared" si="64"/>
        <v/>
      </c>
      <c r="BP193" s="18" t="str">
        <f t="shared" si="65"/>
        <v/>
      </c>
      <c r="BQ193" s="16"/>
      <c r="BR193" s="16"/>
      <c r="BS193" s="17"/>
    </row>
    <row r="194" spans="1:71" ht="16.05" customHeight="1" x14ac:dyDescent="0.3">
      <c r="A194" s="16"/>
      <c r="B194" s="16"/>
      <c r="C194" s="17"/>
      <c r="D194" s="17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7" t="str">
        <f t="shared" si="55"/>
        <v/>
      </c>
      <c r="V194" s="17" t="str">
        <f t="shared" si="56"/>
        <v/>
      </c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8" t="str">
        <f>IF($A194="","",ROUND(P194*CONFIGURACION!$B$2+IF(W194&lt;&gt;"",X194*IFERROR(VLOOKUP(W194,'DATOS COSTES POLIAMIDAS'!$A:$G,7,0),0),0)+IF(Y194&lt;&gt;"",Z194*IFERROR(VLOOKUP(Y194,'DATOS COSTES POLIAMIDAS'!$A:$G,7,0),0),0)+IF(AA194&lt;&gt;"",AB194*IFERROR(VLOOKUP(AA194,'DATOS COSTES POLIAMIDAS'!$A:$G,7,0),0),0)+IF(AC194&lt;&gt;"",AD194*IFERROR(VLOOKUP(AC194,'DATOS COSTES POLIAMIDAS'!$A:$G,7,0),0),0)+IF(AE194&lt;&gt;"",IFERROR(VLOOKUP(AE194,'DATOS COSTES MECANIZADOS'!$A:$F,6,0),0),0),4))</f>
        <v/>
      </c>
      <c r="AZ194" s="18" t="str">
        <f>IF($A194="","",ROUND(AY194+R194*CONFIGURACION!$B$6,4))</f>
        <v/>
      </c>
      <c r="BA194" s="18" t="str">
        <f>IF($A194="","",ROUND(AY194+R194*CONFIGURACION!$B$7,4))</f>
        <v/>
      </c>
      <c r="BB194" s="18" t="str">
        <f>IF($A194="","",ROUND(AY194+R194*CONFIGURACION!$B$5,4))</f>
        <v/>
      </c>
      <c r="BC194" s="18" t="str">
        <f>IF($A194="","",ROUND(AY194+R194*CONFIGURACION!$B$10+R194*T194*CONFIGURACION!$B$11,4))</f>
        <v/>
      </c>
      <c r="BD194" s="18" t="str">
        <f>IF($A194="","",ROUND(AY194+R194*CONFIGURACION!$B$8,4))</f>
        <v/>
      </c>
      <c r="BE194" s="18" t="str">
        <f>IF($A194="","",ROUND(AY194+R194*CONFIGURACION!$B$9,4))</f>
        <v/>
      </c>
      <c r="BF194" s="18" t="str">
        <f>IF($A194="","",ROUND(AY194+R194*CONFIGURACION!$B$13,4))</f>
        <v/>
      </c>
      <c r="BG194" s="18" t="str">
        <f>IF($A194="","",ROUND(AY194+R194*CONFIGURACION!$B$12,4))</f>
        <v/>
      </c>
      <c r="BH194" s="18" t="str">
        <f t="shared" si="57"/>
        <v/>
      </c>
      <c r="BI194" s="18" t="str">
        <f t="shared" si="58"/>
        <v/>
      </c>
      <c r="BJ194" s="18" t="str">
        <f t="shared" si="59"/>
        <v/>
      </c>
      <c r="BK194" s="18" t="str">
        <f t="shared" si="60"/>
        <v/>
      </c>
      <c r="BL194" s="18" t="str">
        <f t="shared" si="61"/>
        <v/>
      </c>
      <c r="BM194" s="18" t="str">
        <f t="shared" si="62"/>
        <v/>
      </c>
      <c r="BN194" s="18" t="str">
        <f t="shared" si="63"/>
        <v/>
      </c>
      <c r="BO194" s="18" t="str">
        <f t="shared" si="64"/>
        <v/>
      </c>
      <c r="BP194" s="18" t="str">
        <f t="shared" si="65"/>
        <v/>
      </c>
      <c r="BQ194" s="16"/>
      <c r="BR194" s="16"/>
      <c r="BS194" s="17"/>
    </row>
    <row r="195" spans="1:71" ht="16.05" customHeight="1" x14ac:dyDescent="0.3">
      <c r="A195" s="16"/>
      <c r="B195" s="16"/>
      <c r="C195" s="17"/>
      <c r="D195" s="17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7" t="str">
        <f t="shared" ref="U195:U202" si="66">IF($A195="","","X:\IMAGENES GEINPROD\"&amp;$A195&amp;".JPG")</f>
        <v/>
      </c>
      <c r="V195" s="17" t="str">
        <f t="shared" ref="V195:V202" si="67">IF($A195="","","X:\IMAGENES GEINPROD\PLANO ORIGINAL THERMIA\"&amp;$A195&amp;".pdf")</f>
        <v/>
      </c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8" t="str">
        <f>IF($A195="","",ROUND(P195*CONFIGURACION!$B$2+IF(W195&lt;&gt;"",X195*IFERROR(VLOOKUP(W195,'DATOS COSTES POLIAMIDAS'!$A:$G,7,0),0),0)+IF(Y195&lt;&gt;"",Z195*IFERROR(VLOOKUP(Y195,'DATOS COSTES POLIAMIDAS'!$A:$G,7,0),0),0)+IF(AA195&lt;&gt;"",AB195*IFERROR(VLOOKUP(AA195,'DATOS COSTES POLIAMIDAS'!$A:$G,7,0),0),0)+IF(AC195&lt;&gt;"",AD195*IFERROR(VLOOKUP(AC195,'DATOS COSTES POLIAMIDAS'!$A:$G,7,0),0),0)+IF(AE195&lt;&gt;"",IFERROR(VLOOKUP(AE195,'DATOS COSTES MECANIZADOS'!$A:$F,6,0),0),0),4))</f>
        <v/>
      </c>
      <c r="AZ195" s="18" t="str">
        <f>IF($A195="","",ROUND(AY195+R195*CONFIGURACION!$B$6,4))</f>
        <v/>
      </c>
      <c r="BA195" s="18" t="str">
        <f>IF($A195="","",ROUND(AY195+R195*CONFIGURACION!$B$7,4))</f>
        <v/>
      </c>
      <c r="BB195" s="18" t="str">
        <f>IF($A195="","",ROUND(AY195+R195*CONFIGURACION!$B$5,4))</f>
        <v/>
      </c>
      <c r="BC195" s="18" t="str">
        <f>IF($A195="","",ROUND(AY195+R195*CONFIGURACION!$B$10+R195*T195*CONFIGURACION!$B$11,4))</f>
        <v/>
      </c>
      <c r="BD195" s="18" t="str">
        <f>IF($A195="","",ROUND(AY195+R195*CONFIGURACION!$B$8,4))</f>
        <v/>
      </c>
      <c r="BE195" s="18" t="str">
        <f>IF($A195="","",ROUND(AY195+R195*CONFIGURACION!$B$9,4))</f>
        <v/>
      </c>
      <c r="BF195" s="18" t="str">
        <f>IF($A195="","",ROUND(AY195+R195*CONFIGURACION!$B$13,4))</f>
        <v/>
      </c>
      <c r="BG195" s="18" t="str">
        <f>IF($A195="","",ROUND(AY195+R195*CONFIGURACION!$B$12,4))</f>
        <v/>
      </c>
      <c r="BH195" s="18" t="str">
        <f t="shared" ref="BH195:BH202" si="68">IF($A195="","",IF(AP195="","",ROUND(AY195/AP195,4)))</f>
        <v/>
      </c>
      <c r="BI195" s="18" t="str">
        <f t="shared" ref="BI195:BI202" si="69">IF($A195="","",IF(AQ195="","",ROUND(AZ195/AQ195,4)))</f>
        <v/>
      </c>
      <c r="BJ195" s="18" t="str">
        <f t="shared" ref="BJ195:BJ202" si="70">IF($A195="","",IF(AR195="","",ROUND(BA195/AR195,4)))</f>
        <v/>
      </c>
      <c r="BK195" s="18" t="str">
        <f t="shared" ref="BK195:BK202" si="71">IF($A195="","",IF(AS195="","",ROUND(BB195/AS195,4)))</f>
        <v/>
      </c>
      <c r="BL195" s="18" t="str">
        <f t="shared" ref="BL195:BL202" si="72">IF($A195="","",IF(AT195="","",ROUND(BC195/AT195,4)))</f>
        <v/>
      </c>
      <c r="BM195" s="18" t="str">
        <f t="shared" ref="BM195:BM202" si="73">IF($A195="","",IF(AU195="","",ROUND(BD195/AU195,4)))</f>
        <v/>
      </c>
      <c r="BN195" s="18" t="str">
        <f t="shared" ref="BN195:BN202" si="74">IF($A195="","",IF(AV195="","",ROUND(BE195/AV195,4)))</f>
        <v/>
      </c>
      <c r="BO195" s="18" t="str">
        <f t="shared" ref="BO195:BO202" si="75">IF($A195="","",IF(AW195="","",ROUND(BF195/AW195,4)))</f>
        <v/>
      </c>
      <c r="BP195" s="18" t="str">
        <f t="shared" ref="BP195:BP202" si="76">IF($A195="","",IF(AX195="","",ROUND(BG195/AX195,4)))</f>
        <v/>
      </c>
      <c r="BQ195" s="16"/>
      <c r="BR195" s="16"/>
      <c r="BS195" s="17"/>
    </row>
    <row r="196" spans="1:71" ht="16.05" customHeight="1" x14ac:dyDescent="0.3">
      <c r="A196" s="16"/>
      <c r="B196" s="16"/>
      <c r="C196" s="17"/>
      <c r="D196" s="17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7" t="str">
        <f t="shared" si="66"/>
        <v/>
      </c>
      <c r="V196" s="17" t="str">
        <f t="shared" si="67"/>
        <v/>
      </c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8" t="str">
        <f>IF($A196="","",ROUND(P196*CONFIGURACION!$B$2+IF(W196&lt;&gt;"",X196*IFERROR(VLOOKUP(W196,'DATOS COSTES POLIAMIDAS'!$A:$G,7,0),0),0)+IF(Y196&lt;&gt;"",Z196*IFERROR(VLOOKUP(Y196,'DATOS COSTES POLIAMIDAS'!$A:$G,7,0),0),0)+IF(AA196&lt;&gt;"",AB196*IFERROR(VLOOKUP(AA196,'DATOS COSTES POLIAMIDAS'!$A:$G,7,0),0),0)+IF(AC196&lt;&gt;"",AD196*IFERROR(VLOOKUP(AC196,'DATOS COSTES POLIAMIDAS'!$A:$G,7,0),0),0)+IF(AE196&lt;&gt;"",IFERROR(VLOOKUP(AE196,'DATOS COSTES MECANIZADOS'!$A:$F,6,0),0),0),4))</f>
        <v/>
      </c>
      <c r="AZ196" s="18" t="str">
        <f>IF($A196="","",ROUND(AY196+R196*CONFIGURACION!$B$6,4))</f>
        <v/>
      </c>
      <c r="BA196" s="18" t="str">
        <f>IF($A196="","",ROUND(AY196+R196*CONFIGURACION!$B$7,4))</f>
        <v/>
      </c>
      <c r="BB196" s="18" t="str">
        <f>IF($A196="","",ROUND(AY196+R196*CONFIGURACION!$B$5,4))</f>
        <v/>
      </c>
      <c r="BC196" s="18" t="str">
        <f>IF($A196="","",ROUND(AY196+R196*CONFIGURACION!$B$10+R196*T196*CONFIGURACION!$B$11,4))</f>
        <v/>
      </c>
      <c r="BD196" s="18" t="str">
        <f>IF($A196="","",ROUND(AY196+R196*CONFIGURACION!$B$8,4))</f>
        <v/>
      </c>
      <c r="BE196" s="18" t="str">
        <f>IF($A196="","",ROUND(AY196+R196*CONFIGURACION!$B$9,4))</f>
        <v/>
      </c>
      <c r="BF196" s="18" t="str">
        <f>IF($A196="","",ROUND(AY196+R196*CONFIGURACION!$B$13,4))</f>
        <v/>
      </c>
      <c r="BG196" s="18" t="str">
        <f>IF($A196="","",ROUND(AY196+R196*CONFIGURACION!$B$12,4))</f>
        <v/>
      </c>
      <c r="BH196" s="18" t="str">
        <f t="shared" si="68"/>
        <v/>
      </c>
      <c r="BI196" s="18" t="str">
        <f t="shared" si="69"/>
        <v/>
      </c>
      <c r="BJ196" s="18" t="str">
        <f t="shared" si="70"/>
        <v/>
      </c>
      <c r="BK196" s="18" t="str">
        <f t="shared" si="71"/>
        <v/>
      </c>
      <c r="BL196" s="18" t="str">
        <f t="shared" si="72"/>
        <v/>
      </c>
      <c r="BM196" s="18" t="str">
        <f t="shared" si="73"/>
        <v/>
      </c>
      <c r="BN196" s="18" t="str">
        <f t="shared" si="74"/>
        <v/>
      </c>
      <c r="BO196" s="18" t="str">
        <f t="shared" si="75"/>
        <v/>
      </c>
      <c r="BP196" s="18" t="str">
        <f t="shared" si="76"/>
        <v/>
      </c>
      <c r="BQ196" s="16"/>
      <c r="BR196" s="16"/>
      <c r="BS196" s="17"/>
    </row>
    <row r="197" spans="1:71" ht="16.05" customHeight="1" x14ac:dyDescent="0.3">
      <c r="A197" s="16"/>
      <c r="B197" s="16"/>
      <c r="C197" s="17"/>
      <c r="D197" s="17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7" t="str">
        <f t="shared" si="66"/>
        <v/>
      </c>
      <c r="V197" s="17" t="str">
        <f t="shared" si="67"/>
        <v/>
      </c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8" t="str">
        <f>IF($A197="","",ROUND(P197*CONFIGURACION!$B$2+IF(W197&lt;&gt;"",X197*IFERROR(VLOOKUP(W197,'DATOS COSTES POLIAMIDAS'!$A:$G,7,0),0),0)+IF(Y197&lt;&gt;"",Z197*IFERROR(VLOOKUP(Y197,'DATOS COSTES POLIAMIDAS'!$A:$G,7,0),0),0)+IF(AA197&lt;&gt;"",AB197*IFERROR(VLOOKUP(AA197,'DATOS COSTES POLIAMIDAS'!$A:$G,7,0),0),0)+IF(AC197&lt;&gt;"",AD197*IFERROR(VLOOKUP(AC197,'DATOS COSTES POLIAMIDAS'!$A:$G,7,0),0),0)+IF(AE197&lt;&gt;"",IFERROR(VLOOKUP(AE197,'DATOS COSTES MECANIZADOS'!$A:$F,6,0),0),0),4))</f>
        <v/>
      </c>
      <c r="AZ197" s="18" t="str">
        <f>IF($A197="","",ROUND(AY197+R197*CONFIGURACION!$B$6,4))</f>
        <v/>
      </c>
      <c r="BA197" s="18" t="str">
        <f>IF($A197="","",ROUND(AY197+R197*CONFIGURACION!$B$7,4))</f>
        <v/>
      </c>
      <c r="BB197" s="18" t="str">
        <f>IF($A197="","",ROUND(AY197+R197*CONFIGURACION!$B$5,4))</f>
        <v/>
      </c>
      <c r="BC197" s="18" t="str">
        <f>IF($A197="","",ROUND(AY197+R197*CONFIGURACION!$B$10+R197*T197*CONFIGURACION!$B$11,4))</f>
        <v/>
      </c>
      <c r="BD197" s="18" t="str">
        <f>IF($A197="","",ROUND(AY197+R197*CONFIGURACION!$B$8,4))</f>
        <v/>
      </c>
      <c r="BE197" s="18" t="str">
        <f>IF($A197="","",ROUND(AY197+R197*CONFIGURACION!$B$9,4))</f>
        <v/>
      </c>
      <c r="BF197" s="18" t="str">
        <f>IF($A197="","",ROUND(AY197+R197*CONFIGURACION!$B$13,4))</f>
        <v/>
      </c>
      <c r="BG197" s="18" t="str">
        <f>IF($A197="","",ROUND(AY197+R197*CONFIGURACION!$B$12,4))</f>
        <v/>
      </c>
      <c r="BH197" s="18" t="str">
        <f t="shared" si="68"/>
        <v/>
      </c>
      <c r="BI197" s="18" t="str">
        <f t="shared" si="69"/>
        <v/>
      </c>
      <c r="BJ197" s="18" t="str">
        <f t="shared" si="70"/>
        <v/>
      </c>
      <c r="BK197" s="18" t="str">
        <f t="shared" si="71"/>
        <v/>
      </c>
      <c r="BL197" s="18" t="str">
        <f t="shared" si="72"/>
        <v/>
      </c>
      <c r="BM197" s="18" t="str">
        <f t="shared" si="73"/>
        <v/>
      </c>
      <c r="BN197" s="18" t="str">
        <f t="shared" si="74"/>
        <v/>
      </c>
      <c r="BO197" s="18" t="str">
        <f t="shared" si="75"/>
        <v/>
      </c>
      <c r="BP197" s="18" t="str">
        <f t="shared" si="76"/>
        <v/>
      </c>
      <c r="BQ197" s="16"/>
      <c r="BR197" s="16"/>
      <c r="BS197" s="17"/>
    </row>
    <row r="198" spans="1:71" ht="16.05" customHeight="1" x14ac:dyDescent="0.3">
      <c r="A198" s="16"/>
      <c r="B198" s="16"/>
      <c r="C198" s="17"/>
      <c r="D198" s="17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7" t="str">
        <f t="shared" si="66"/>
        <v/>
      </c>
      <c r="V198" s="17" t="str">
        <f t="shared" si="67"/>
        <v/>
      </c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8" t="str">
        <f>IF($A198="","",ROUND(P198*CONFIGURACION!$B$2+IF(W198&lt;&gt;"",X198*IFERROR(VLOOKUP(W198,'DATOS COSTES POLIAMIDAS'!$A:$G,7,0),0),0)+IF(Y198&lt;&gt;"",Z198*IFERROR(VLOOKUP(Y198,'DATOS COSTES POLIAMIDAS'!$A:$G,7,0),0),0)+IF(AA198&lt;&gt;"",AB198*IFERROR(VLOOKUP(AA198,'DATOS COSTES POLIAMIDAS'!$A:$G,7,0),0),0)+IF(AC198&lt;&gt;"",AD198*IFERROR(VLOOKUP(AC198,'DATOS COSTES POLIAMIDAS'!$A:$G,7,0),0),0)+IF(AE198&lt;&gt;"",IFERROR(VLOOKUP(AE198,'DATOS COSTES MECANIZADOS'!$A:$F,6,0),0),0),4))</f>
        <v/>
      </c>
      <c r="AZ198" s="18" t="str">
        <f>IF($A198="","",ROUND(AY198+R198*CONFIGURACION!$B$6,4))</f>
        <v/>
      </c>
      <c r="BA198" s="18" t="str">
        <f>IF($A198="","",ROUND(AY198+R198*CONFIGURACION!$B$7,4))</f>
        <v/>
      </c>
      <c r="BB198" s="18" t="str">
        <f>IF($A198="","",ROUND(AY198+R198*CONFIGURACION!$B$5,4))</f>
        <v/>
      </c>
      <c r="BC198" s="18" t="str">
        <f>IF($A198="","",ROUND(AY198+R198*CONFIGURACION!$B$10+R198*T198*CONFIGURACION!$B$11,4))</f>
        <v/>
      </c>
      <c r="BD198" s="18" t="str">
        <f>IF($A198="","",ROUND(AY198+R198*CONFIGURACION!$B$8,4))</f>
        <v/>
      </c>
      <c r="BE198" s="18" t="str">
        <f>IF($A198="","",ROUND(AY198+R198*CONFIGURACION!$B$9,4))</f>
        <v/>
      </c>
      <c r="BF198" s="18" t="str">
        <f>IF($A198="","",ROUND(AY198+R198*CONFIGURACION!$B$13,4))</f>
        <v/>
      </c>
      <c r="BG198" s="18" t="str">
        <f>IF($A198="","",ROUND(AY198+R198*CONFIGURACION!$B$12,4))</f>
        <v/>
      </c>
      <c r="BH198" s="18" t="str">
        <f t="shared" si="68"/>
        <v/>
      </c>
      <c r="BI198" s="18" t="str">
        <f t="shared" si="69"/>
        <v/>
      </c>
      <c r="BJ198" s="18" t="str">
        <f t="shared" si="70"/>
        <v/>
      </c>
      <c r="BK198" s="18" t="str">
        <f t="shared" si="71"/>
        <v/>
      </c>
      <c r="BL198" s="18" t="str">
        <f t="shared" si="72"/>
        <v/>
      </c>
      <c r="BM198" s="18" t="str">
        <f t="shared" si="73"/>
        <v/>
      </c>
      <c r="BN198" s="18" t="str">
        <f t="shared" si="74"/>
        <v/>
      </c>
      <c r="BO198" s="18" t="str">
        <f t="shared" si="75"/>
        <v/>
      </c>
      <c r="BP198" s="18" t="str">
        <f t="shared" si="76"/>
        <v/>
      </c>
      <c r="BQ198" s="16"/>
      <c r="BR198" s="16"/>
      <c r="BS198" s="17"/>
    </row>
    <row r="199" spans="1:71" ht="16.05" customHeight="1" x14ac:dyDescent="0.3">
      <c r="A199" s="16"/>
      <c r="B199" s="16"/>
      <c r="C199" s="17"/>
      <c r="D199" s="17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7" t="str">
        <f t="shared" si="66"/>
        <v/>
      </c>
      <c r="V199" s="17" t="str">
        <f t="shared" si="67"/>
        <v/>
      </c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8" t="str">
        <f>IF($A199="","",ROUND(P199*CONFIGURACION!$B$2+IF(W199&lt;&gt;"",X199*IFERROR(VLOOKUP(W199,'DATOS COSTES POLIAMIDAS'!$A:$G,7,0),0),0)+IF(Y199&lt;&gt;"",Z199*IFERROR(VLOOKUP(Y199,'DATOS COSTES POLIAMIDAS'!$A:$G,7,0),0),0)+IF(AA199&lt;&gt;"",AB199*IFERROR(VLOOKUP(AA199,'DATOS COSTES POLIAMIDAS'!$A:$G,7,0),0),0)+IF(AC199&lt;&gt;"",AD199*IFERROR(VLOOKUP(AC199,'DATOS COSTES POLIAMIDAS'!$A:$G,7,0),0),0)+IF(AE199&lt;&gt;"",IFERROR(VLOOKUP(AE199,'DATOS COSTES MECANIZADOS'!$A:$F,6,0),0),0),4))</f>
        <v/>
      </c>
      <c r="AZ199" s="18" t="str">
        <f>IF($A199="","",ROUND(AY199+R199*CONFIGURACION!$B$6,4))</f>
        <v/>
      </c>
      <c r="BA199" s="18" t="str">
        <f>IF($A199="","",ROUND(AY199+R199*CONFIGURACION!$B$7,4))</f>
        <v/>
      </c>
      <c r="BB199" s="18" t="str">
        <f>IF($A199="","",ROUND(AY199+R199*CONFIGURACION!$B$5,4))</f>
        <v/>
      </c>
      <c r="BC199" s="18" t="str">
        <f>IF($A199="","",ROUND(AY199+R199*CONFIGURACION!$B$10+R199*T199*CONFIGURACION!$B$11,4))</f>
        <v/>
      </c>
      <c r="BD199" s="18" t="str">
        <f>IF($A199="","",ROUND(AY199+R199*CONFIGURACION!$B$8,4))</f>
        <v/>
      </c>
      <c r="BE199" s="18" t="str">
        <f>IF($A199="","",ROUND(AY199+R199*CONFIGURACION!$B$9,4))</f>
        <v/>
      </c>
      <c r="BF199" s="18" t="str">
        <f>IF($A199="","",ROUND(AY199+R199*CONFIGURACION!$B$13,4))</f>
        <v/>
      </c>
      <c r="BG199" s="18" t="str">
        <f>IF($A199="","",ROUND(AY199+R199*CONFIGURACION!$B$12,4))</f>
        <v/>
      </c>
      <c r="BH199" s="18" t="str">
        <f t="shared" si="68"/>
        <v/>
      </c>
      <c r="BI199" s="18" t="str">
        <f t="shared" si="69"/>
        <v/>
      </c>
      <c r="BJ199" s="18" t="str">
        <f t="shared" si="70"/>
        <v/>
      </c>
      <c r="BK199" s="18" t="str">
        <f t="shared" si="71"/>
        <v/>
      </c>
      <c r="BL199" s="18" t="str">
        <f t="shared" si="72"/>
        <v/>
      </c>
      <c r="BM199" s="18" t="str">
        <f t="shared" si="73"/>
        <v/>
      </c>
      <c r="BN199" s="18" t="str">
        <f t="shared" si="74"/>
        <v/>
      </c>
      <c r="BO199" s="18" t="str">
        <f t="shared" si="75"/>
        <v/>
      </c>
      <c r="BP199" s="18" t="str">
        <f t="shared" si="76"/>
        <v/>
      </c>
      <c r="BQ199" s="16"/>
      <c r="BR199" s="16"/>
      <c r="BS199" s="17"/>
    </row>
    <row r="200" spans="1:71" ht="16.05" customHeight="1" x14ac:dyDescent="0.3">
      <c r="A200" s="16"/>
      <c r="B200" s="16"/>
      <c r="C200" s="17"/>
      <c r="D200" s="17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7" t="str">
        <f t="shared" si="66"/>
        <v/>
      </c>
      <c r="V200" s="17" t="str">
        <f t="shared" si="67"/>
        <v/>
      </c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8" t="str">
        <f>IF($A200="","",ROUND(P200*CONFIGURACION!$B$2+IF(W200&lt;&gt;"",X200*IFERROR(VLOOKUP(W200,'DATOS COSTES POLIAMIDAS'!$A:$G,7,0),0),0)+IF(Y200&lt;&gt;"",Z200*IFERROR(VLOOKUP(Y200,'DATOS COSTES POLIAMIDAS'!$A:$G,7,0),0),0)+IF(AA200&lt;&gt;"",AB200*IFERROR(VLOOKUP(AA200,'DATOS COSTES POLIAMIDAS'!$A:$G,7,0),0),0)+IF(AC200&lt;&gt;"",AD200*IFERROR(VLOOKUP(AC200,'DATOS COSTES POLIAMIDAS'!$A:$G,7,0),0),0)+IF(AE200&lt;&gt;"",IFERROR(VLOOKUP(AE200,'DATOS COSTES MECANIZADOS'!$A:$F,6,0),0),0),4))</f>
        <v/>
      </c>
      <c r="AZ200" s="18" t="str">
        <f>IF($A200="","",ROUND(AY200+R200*CONFIGURACION!$B$6,4))</f>
        <v/>
      </c>
      <c r="BA200" s="18" t="str">
        <f>IF($A200="","",ROUND(AY200+R200*CONFIGURACION!$B$7,4))</f>
        <v/>
      </c>
      <c r="BB200" s="18" t="str">
        <f>IF($A200="","",ROUND(AY200+R200*CONFIGURACION!$B$5,4))</f>
        <v/>
      </c>
      <c r="BC200" s="18" t="str">
        <f>IF($A200="","",ROUND(AY200+R200*CONFIGURACION!$B$10+R200*T200*CONFIGURACION!$B$11,4))</f>
        <v/>
      </c>
      <c r="BD200" s="18" t="str">
        <f>IF($A200="","",ROUND(AY200+R200*CONFIGURACION!$B$8,4))</f>
        <v/>
      </c>
      <c r="BE200" s="18" t="str">
        <f>IF($A200="","",ROUND(AY200+R200*CONFIGURACION!$B$9,4))</f>
        <v/>
      </c>
      <c r="BF200" s="18" t="str">
        <f>IF($A200="","",ROUND(AY200+R200*CONFIGURACION!$B$13,4))</f>
        <v/>
      </c>
      <c r="BG200" s="18" t="str">
        <f>IF($A200="","",ROUND(AY200+R200*CONFIGURACION!$B$12,4))</f>
        <v/>
      </c>
      <c r="BH200" s="18" t="str">
        <f t="shared" si="68"/>
        <v/>
      </c>
      <c r="BI200" s="18" t="str">
        <f t="shared" si="69"/>
        <v/>
      </c>
      <c r="BJ200" s="18" t="str">
        <f t="shared" si="70"/>
        <v/>
      </c>
      <c r="BK200" s="18" t="str">
        <f t="shared" si="71"/>
        <v/>
      </c>
      <c r="BL200" s="18" t="str">
        <f t="shared" si="72"/>
        <v/>
      </c>
      <c r="BM200" s="18" t="str">
        <f t="shared" si="73"/>
        <v/>
      </c>
      <c r="BN200" s="18" t="str">
        <f t="shared" si="74"/>
        <v/>
      </c>
      <c r="BO200" s="18" t="str">
        <f t="shared" si="75"/>
        <v/>
      </c>
      <c r="BP200" s="18" t="str">
        <f t="shared" si="76"/>
        <v/>
      </c>
      <c r="BQ200" s="16"/>
      <c r="BR200" s="16"/>
      <c r="BS200" s="17"/>
    </row>
    <row r="201" spans="1:71" ht="16.05" customHeight="1" x14ac:dyDescent="0.3">
      <c r="A201" s="16"/>
      <c r="B201" s="16"/>
      <c r="C201" s="17"/>
      <c r="D201" s="17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7" t="str">
        <f t="shared" si="66"/>
        <v/>
      </c>
      <c r="V201" s="17" t="str">
        <f t="shared" si="67"/>
        <v/>
      </c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8" t="str">
        <f>IF($A201="","",ROUND(P201*CONFIGURACION!$B$2+IF(W201&lt;&gt;"",X201*IFERROR(VLOOKUP(W201,'DATOS COSTES POLIAMIDAS'!$A:$G,7,0),0),0)+IF(Y201&lt;&gt;"",Z201*IFERROR(VLOOKUP(Y201,'DATOS COSTES POLIAMIDAS'!$A:$G,7,0),0),0)+IF(AA201&lt;&gt;"",AB201*IFERROR(VLOOKUP(AA201,'DATOS COSTES POLIAMIDAS'!$A:$G,7,0),0),0)+IF(AC201&lt;&gt;"",AD201*IFERROR(VLOOKUP(AC201,'DATOS COSTES POLIAMIDAS'!$A:$G,7,0),0),0)+IF(AE201&lt;&gt;"",IFERROR(VLOOKUP(AE201,'DATOS COSTES MECANIZADOS'!$A:$F,6,0),0),0),4))</f>
        <v/>
      </c>
      <c r="AZ201" s="18" t="str">
        <f>IF($A201="","",ROUND(AY201+R201*CONFIGURACION!$B$6,4))</f>
        <v/>
      </c>
      <c r="BA201" s="18" t="str">
        <f>IF($A201="","",ROUND(AY201+R201*CONFIGURACION!$B$7,4))</f>
        <v/>
      </c>
      <c r="BB201" s="18" t="str">
        <f>IF($A201="","",ROUND(AY201+R201*CONFIGURACION!$B$5,4))</f>
        <v/>
      </c>
      <c r="BC201" s="18" t="str">
        <f>IF($A201="","",ROUND(AY201+R201*CONFIGURACION!$B$10+R201*T201*CONFIGURACION!$B$11,4))</f>
        <v/>
      </c>
      <c r="BD201" s="18" t="str">
        <f>IF($A201="","",ROUND(AY201+R201*CONFIGURACION!$B$8,4))</f>
        <v/>
      </c>
      <c r="BE201" s="18" t="str">
        <f>IF($A201="","",ROUND(AY201+R201*CONFIGURACION!$B$9,4))</f>
        <v/>
      </c>
      <c r="BF201" s="18" t="str">
        <f>IF($A201="","",ROUND(AY201+R201*CONFIGURACION!$B$13,4))</f>
        <v/>
      </c>
      <c r="BG201" s="18" t="str">
        <f>IF($A201="","",ROUND(AY201+R201*CONFIGURACION!$B$12,4))</f>
        <v/>
      </c>
      <c r="BH201" s="18" t="str">
        <f t="shared" si="68"/>
        <v/>
      </c>
      <c r="BI201" s="18" t="str">
        <f t="shared" si="69"/>
        <v/>
      </c>
      <c r="BJ201" s="18" t="str">
        <f t="shared" si="70"/>
        <v/>
      </c>
      <c r="BK201" s="18" t="str">
        <f t="shared" si="71"/>
        <v/>
      </c>
      <c r="BL201" s="18" t="str">
        <f t="shared" si="72"/>
        <v/>
      </c>
      <c r="BM201" s="18" t="str">
        <f t="shared" si="73"/>
        <v/>
      </c>
      <c r="BN201" s="18" t="str">
        <f t="shared" si="74"/>
        <v/>
      </c>
      <c r="BO201" s="18" t="str">
        <f t="shared" si="75"/>
        <v/>
      </c>
      <c r="BP201" s="18" t="str">
        <f t="shared" si="76"/>
        <v/>
      </c>
      <c r="BQ201" s="16"/>
      <c r="BR201" s="16"/>
      <c r="BS201" s="17"/>
    </row>
    <row r="202" spans="1:71" ht="16.05" customHeight="1" x14ac:dyDescent="0.3">
      <c r="A202" s="16"/>
      <c r="B202" s="16"/>
      <c r="C202" s="17"/>
      <c r="D202" s="17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7" t="str">
        <f t="shared" si="66"/>
        <v/>
      </c>
      <c r="V202" s="17" t="str">
        <f t="shared" si="67"/>
        <v/>
      </c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8" t="str">
        <f>IF($A202="","",ROUND(P202*CONFIGURACION!$B$2+IF(W202&lt;&gt;"",X202*IFERROR(VLOOKUP(W202,'DATOS COSTES POLIAMIDAS'!$A:$G,7,0),0),0)+IF(Y202&lt;&gt;"",Z202*IFERROR(VLOOKUP(Y202,'DATOS COSTES POLIAMIDAS'!$A:$G,7,0),0),0)+IF(AA202&lt;&gt;"",AB202*IFERROR(VLOOKUP(AA202,'DATOS COSTES POLIAMIDAS'!$A:$G,7,0),0),0)+IF(AC202&lt;&gt;"",AD202*IFERROR(VLOOKUP(AC202,'DATOS COSTES POLIAMIDAS'!$A:$G,7,0),0),0)+IF(AE202&lt;&gt;"",IFERROR(VLOOKUP(AE202,'DATOS COSTES MECANIZADOS'!$A:$F,6,0),0),0),4))</f>
        <v/>
      </c>
      <c r="AZ202" s="18" t="str">
        <f>IF($A202="","",ROUND(AY202+R202*CONFIGURACION!$B$6,4))</f>
        <v/>
      </c>
      <c r="BA202" s="18" t="str">
        <f>IF($A202="","",ROUND(AY202+R202*CONFIGURACION!$B$7,4))</f>
        <v/>
      </c>
      <c r="BB202" s="18" t="str">
        <f>IF($A202="","",ROUND(AY202+R202*CONFIGURACION!$B$5,4))</f>
        <v/>
      </c>
      <c r="BC202" s="18" t="str">
        <f>IF($A202="","",ROUND(AY202+R202*CONFIGURACION!$B$10+R202*T202*CONFIGURACION!$B$11,4))</f>
        <v/>
      </c>
      <c r="BD202" s="18" t="str">
        <f>IF($A202="","",ROUND(AY202+R202*CONFIGURACION!$B$8,4))</f>
        <v/>
      </c>
      <c r="BE202" s="18" t="str">
        <f>IF($A202="","",ROUND(AY202+R202*CONFIGURACION!$B$9,4))</f>
        <v/>
      </c>
      <c r="BF202" s="18" t="str">
        <f>IF($A202="","",ROUND(AY202+R202*CONFIGURACION!$B$13,4))</f>
        <v/>
      </c>
      <c r="BG202" s="18" t="str">
        <f>IF($A202="","",ROUND(AY202+R202*CONFIGURACION!$B$12,4))</f>
        <v/>
      </c>
      <c r="BH202" s="18" t="str">
        <f t="shared" si="68"/>
        <v/>
      </c>
      <c r="BI202" s="18" t="str">
        <f t="shared" si="69"/>
        <v/>
      </c>
      <c r="BJ202" s="18" t="str">
        <f t="shared" si="70"/>
        <v/>
      </c>
      <c r="BK202" s="18" t="str">
        <f t="shared" si="71"/>
        <v/>
      </c>
      <c r="BL202" s="18" t="str">
        <f t="shared" si="72"/>
        <v/>
      </c>
      <c r="BM202" s="18" t="str">
        <f t="shared" si="73"/>
        <v/>
      </c>
      <c r="BN202" s="18" t="str">
        <f t="shared" si="74"/>
        <v/>
      </c>
      <c r="BO202" s="18" t="str">
        <f t="shared" si="75"/>
        <v/>
      </c>
      <c r="BP202" s="18" t="str">
        <f t="shared" si="76"/>
        <v/>
      </c>
      <c r="BQ202" s="16"/>
      <c r="BR202" s="16"/>
      <c r="BS202" s="17"/>
    </row>
  </sheetData>
  <mergeCells count="12">
    <mergeCell ref="G1:O1"/>
    <mergeCell ref="AK1:AM1"/>
    <mergeCell ref="W1:AE1"/>
    <mergeCell ref="BQ1:BS1"/>
    <mergeCell ref="A1:F1"/>
    <mergeCell ref="AF1:AJ1"/>
    <mergeCell ref="AP1:AX1"/>
    <mergeCell ref="P1:T1"/>
    <mergeCell ref="U1:V1"/>
    <mergeCell ref="AN1:AO1"/>
    <mergeCell ref="BH1:BP1"/>
    <mergeCell ref="AY1:BG1"/>
  </mergeCells>
  <dataValidations count="4">
    <dataValidation type="list" allowBlank="1" sqref="G3:O202" xr:uid="{00000000-0002-0000-0000-000000000000}">
      <formula1>"SI,NO"</formula1>
    </dataValidation>
    <dataValidation type="list" allowBlank="1" sqref="BQ3:BQ202" xr:uid="{00000000-0002-0000-0000-000001000000}">
      <formula1>"EN PREPARACION,LISTO,GENERADO"</formula1>
    </dataValidation>
    <dataValidation type="list" allowBlank="1" sqref="E3:E202" xr:uid="{00000000-0002-0000-0000-000002000000}">
      <formula1>"EU,TURQUIA"</formula1>
    </dataValidation>
    <dataValidation type="list" allowBlank="1" sqref="B3:B202" xr:uid="{00000000-0002-0000-0000-000003000000}">
      <formula1>"1,2"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02"/>
  <sheetViews>
    <sheetView zoomScale="90"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12" customWidth="1"/>
    <col min="2" max="2" width="9" customWidth="1"/>
    <col min="3" max="3" width="14" customWidth="1"/>
    <col min="4" max="4" width="30" customWidth="1"/>
    <col min="5" max="7" width="8" customWidth="1"/>
    <col min="8" max="8" width="9" customWidth="1"/>
    <col min="9" max="10" width="12" customWidth="1"/>
    <col min="11" max="11" width="10" customWidth="1"/>
    <col min="12" max="12" width="8" customWidth="1"/>
    <col min="13" max="13" width="13" customWidth="1"/>
    <col min="14" max="16" width="10" customWidth="1"/>
    <col min="17" max="18" width="11" customWidth="1"/>
    <col min="19" max="19" width="18" customWidth="1"/>
    <col min="20" max="20" width="13" customWidth="1"/>
    <col min="21" max="21" width="25" customWidth="1"/>
  </cols>
  <sheetData>
    <row r="1" spans="1:21" ht="22.05" customHeight="1" x14ac:dyDescent="0.3">
      <c r="A1" s="49" t="s">
        <v>0</v>
      </c>
      <c r="B1" s="50"/>
      <c r="C1" s="50"/>
      <c r="D1" s="50"/>
      <c r="E1" s="55" t="s">
        <v>74</v>
      </c>
      <c r="F1" s="56"/>
      <c r="G1" s="56"/>
      <c r="H1" s="56"/>
      <c r="I1" s="51" t="s">
        <v>5</v>
      </c>
      <c r="J1" s="52"/>
      <c r="K1" s="52"/>
      <c r="L1" s="52"/>
      <c r="M1" s="52"/>
      <c r="N1" s="43" t="s">
        <v>75</v>
      </c>
      <c r="O1" s="44"/>
      <c r="P1" s="44"/>
      <c r="Q1" s="63" t="s">
        <v>76</v>
      </c>
      <c r="R1" s="64"/>
      <c r="S1" s="47" t="s">
        <v>11</v>
      </c>
      <c r="T1" s="48"/>
      <c r="U1" s="48"/>
    </row>
    <row r="2" spans="1:21" ht="37.950000000000003" customHeight="1" x14ac:dyDescent="0.3">
      <c r="A2" s="5" t="s">
        <v>12</v>
      </c>
      <c r="B2" s="5" t="s">
        <v>13</v>
      </c>
      <c r="C2" s="5" t="s">
        <v>15</v>
      </c>
      <c r="D2" s="5" t="s">
        <v>14</v>
      </c>
      <c r="E2" s="7" t="s">
        <v>77</v>
      </c>
      <c r="F2" s="7" t="s">
        <v>78</v>
      </c>
      <c r="G2" s="7" t="s">
        <v>79</v>
      </c>
      <c r="H2" s="7" t="s">
        <v>80</v>
      </c>
      <c r="I2" s="10" t="s">
        <v>43</v>
      </c>
      <c r="J2" s="10" t="s">
        <v>81</v>
      </c>
      <c r="K2" s="10" t="s">
        <v>45</v>
      </c>
      <c r="L2" s="10" t="s">
        <v>46</v>
      </c>
      <c r="M2" s="10" t="s">
        <v>47</v>
      </c>
      <c r="N2" s="6" t="s">
        <v>82</v>
      </c>
      <c r="O2" s="6" t="s">
        <v>83</v>
      </c>
      <c r="P2" s="6" t="s">
        <v>84</v>
      </c>
      <c r="Q2" s="13" t="s">
        <v>85</v>
      </c>
      <c r="R2" s="13" t="s">
        <v>86</v>
      </c>
      <c r="S2" s="15" t="s">
        <v>71</v>
      </c>
      <c r="T2" s="15" t="s">
        <v>72</v>
      </c>
      <c r="U2" s="15" t="s">
        <v>73</v>
      </c>
    </row>
    <row r="3" spans="1:21" ht="16.05" customHeight="1" x14ac:dyDescent="0.3">
      <c r="A3" s="16"/>
      <c r="B3" s="16"/>
      <c r="C3" s="17"/>
      <c r="D3" s="17"/>
      <c r="E3" s="16"/>
      <c r="F3" s="16"/>
      <c r="G3" s="16"/>
      <c r="H3" s="16"/>
      <c r="I3" s="17"/>
      <c r="J3" s="17"/>
      <c r="K3" s="17"/>
      <c r="L3" s="17"/>
      <c r="M3" s="17"/>
      <c r="N3" s="16"/>
      <c r="O3" s="16"/>
      <c r="P3" s="16"/>
      <c r="Q3" s="18"/>
      <c r="R3" s="18"/>
      <c r="S3" s="16"/>
      <c r="T3" s="16"/>
      <c r="U3" s="17"/>
    </row>
    <row r="4" spans="1:21" ht="16.05" customHeight="1" x14ac:dyDescent="0.3">
      <c r="A4" s="16"/>
      <c r="B4" s="16"/>
      <c r="C4" s="17"/>
      <c r="D4" s="17"/>
      <c r="E4" s="16"/>
      <c r="F4" s="16"/>
      <c r="G4" s="16"/>
      <c r="H4" s="16"/>
      <c r="I4" s="17"/>
      <c r="J4" s="17"/>
      <c r="K4" s="17"/>
      <c r="L4" s="17"/>
      <c r="M4" s="17"/>
      <c r="N4" s="16"/>
      <c r="O4" s="16"/>
      <c r="P4" s="16"/>
      <c r="Q4" s="18"/>
      <c r="R4" s="18"/>
      <c r="S4" s="16"/>
      <c r="T4" s="16"/>
      <c r="U4" s="17"/>
    </row>
    <row r="5" spans="1:21" ht="16.05" customHeight="1" x14ac:dyDescent="0.3">
      <c r="A5" s="16"/>
      <c r="B5" s="16"/>
      <c r="C5" s="17"/>
      <c r="D5" s="17"/>
      <c r="E5" s="16"/>
      <c r="F5" s="16"/>
      <c r="G5" s="16"/>
      <c r="H5" s="16"/>
      <c r="I5" s="17"/>
      <c r="J5" s="17"/>
      <c r="K5" s="17"/>
      <c r="L5" s="17"/>
      <c r="M5" s="17"/>
      <c r="N5" s="16"/>
      <c r="O5" s="16"/>
      <c r="P5" s="16"/>
      <c r="Q5" s="18"/>
      <c r="R5" s="18"/>
      <c r="S5" s="16"/>
      <c r="T5" s="16"/>
      <c r="U5" s="17"/>
    </row>
    <row r="6" spans="1:21" ht="16.05" customHeight="1" x14ac:dyDescent="0.3">
      <c r="A6" s="16"/>
      <c r="B6" s="16"/>
      <c r="C6" s="17"/>
      <c r="D6" s="17"/>
      <c r="E6" s="16"/>
      <c r="F6" s="16"/>
      <c r="G6" s="16"/>
      <c r="H6" s="16"/>
      <c r="I6" s="17"/>
      <c r="J6" s="17"/>
      <c r="K6" s="17"/>
      <c r="L6" s="17"/>
      <c r="M6" s="17"/>
      <c r="N6" s="16"/>
      <c r="O6" s="16"/>
      <c r="P6" s="16"/>
      <c r="Q6" s="18"/>
      <c r="R6" s="18"/>
      <c r="S6" s="16"/>
      <c r="T6" s="16"/>
      <c r="U6" s="17"/>
    </row>
    <row r="7" spans="1:21" ht="16.05" customHeight="1" x14ac:dyDescent="0.3">
      <c r="A7" s="16"/>
      <c r="B7" s="16"/>
      <c r="C7" s="17"/>
      <c r="D7" s="17"/>
      <c r="E7" s="16"/>
      <c r="F7" s="16"/>
      <c r="G7" s="16"/>
      <c r="H7" s="16"/>
      <c r="I7" s="17"/>
      <c r="J7" s="17"/>
      <c r="K7" s="17"/>
      <c r="L7" s="17"/>
      <c r="M7" s="17"/>
      <c r="N7" s="16"/>
      <c r="O7" s="16"/>
      <c r="P7" s="16"/>
      <c r="Q7" s="18"/>
      <c r="R7" s="18"/>
      <c r="S7" s="16"/>
      <c r="T7" s="16"/>
      <c r="U7" s="17"/>
    </row>
    <row r="8" spans="1:21" ht="16.05" customHeight="1" x14ac:dyDescent="0.3">
      <c r="A8" s="16"/>
      <c r="B8" s="16"/>
      <c r="C8" s="17"/>
      <c r="D8" s="17"/>
      <c r="E8" s="16"/>
      <c r="F8" s="16"/>
      <c r="G8" s="16"/>
      <c r="H8" s="16"/>
      <c r="I8" s="17"/>
      <c r="J8" s="17"/>
      <c r="K8" s="17"/>
      <c r="L8" s="17"/>
      <c r="M8" s="17"/>
      <c r="N8" s="16"/>
      <c r="O8" s="16"/>
      <c r="P8" s="16"/>
      <c r="Q8" s="18"/>
      <c r="R8" s="18"/>
      <c r="S8" s="16"/>
      <c r="T8" s="16"/>
      <c r="U8" s="17"/>
    </row>
    <row r="9" spans="1:21" ht="16.05" customHeight="1" x14ac:dyDescent="0.3">
      <c r="A9" s="16"/>
      <c r="B9" s="16"/>
      <c r="C9" s="17"/>
      <c r="D9" s="17"/>
      <c r="E9" s="16"/>
      <c r="F9" s="16"/>
      <c r="G9" s="16"/>
      <c r="H9" s="16"/>
      <c r="I9" s="17"/>
      <c r="J9" s="17"/>
      <c r="K9" s="17"/>
      <c r="L9" s="17"/>
      <c r="M9" s="17"/>
      <c r="N9" s="16"/>
      <c r="O9" s="16"/>
      <c r="P9" s="16"/>
      <c r="Q9" s="18"/>
      <c r="R9" s="18"/>
      <c r="S9" s="16"/>
      <c r="T9" s="16"/>
      <c r="U9" s="17"/>
    </row>
    <row r="10" spans="1:21" ht="16.05" customHeight="1" x14ac:dyDescent="0.3">
      <c r="A10" s="16"/>
      <c r="B10" s="16"/>
      <c r="C10" s="17"/>
      <c r="D10" s="17"/>
      <c r="E10" s="16"/>
      <c r="F10" s="16"/>
      <c r="G10" s="16"/>
      <c r="H10" s="16"/>
      <c r="I10" s="17"/>
      <c r="J10" s="17"/>
      <c r="K10" s="17"/>
      <c r="L10" s="17"/>
      <c r="M10" s="17"/>
      <c r="N10" s="16"/>
      <c r="O10" s="16"/>
      <c r="P10" s="16"/>
      <c r="Q10" s="18"/>
      <c r="R10" s="18"/>
      <c r="S10" s="16"/>
      <c r="T10" s="16"/>
      <c r="U10" s="17"/>
    </row>
    <row r="11" spans="1:21" ht="16.05" customHeight="1" x14ac:dyDescent="0.3">
      <c r="A11" s="16"/>
      <c r="B11" s="16"/>
      <c r="C11" s="17"/>
      <c r="D11" s="17"/>
      <c r="E11" s="16"/>
      <c r="F11" s="16"/>
      <c r="G11" s="16"/>
      <c r="H11" s="16"/>
      <c r="I11" s="17"/>
      <c r="J11" s="17"/>
      <c r="K11" s="17"/>
      <c r="L11" s="17"/>
      <c r="M11" s="17"/>
      <c r="N11" s="16"/>
      <c r="O11" s="16"/>
      <c r="P11" s="16"/>
      <c r="Q11" s="18"/>
      <c r="R11" s="18"/>
      <c r="S11" s="16"/>
      <c r="T11" s="16"/>
      <c r="U11" s="17"/>
    </row>
    <row r="12" spans="1:21" ht="16.05" customHeight="1" x14ac:dyDescent="0.3">
      <c r="A12" s="16"/>
      <c r="B12" s="16"/>
      <c r="C12" s="17"/>
      <c r="D12" s="17"/>
      <c r="E12" s="16"/>
      <c r="F12" s="16"/>
      <c r="G12" s="16"/>
      <c r="H12" s="16"/>
      <c r="I12" s="17"/>
      <c r="J12" s="17"/>
      <c r="K12" s="17"/>
      <c r="L12" s="17"/>
      <c r="M12" s="17"/>
      <c r="N12" s="16"/>
      <c r="O12" s="16"/>
      <c r="P12" s="16"/>
      <c r="Q12" s="18"/>
      <c r="R12" s="18"/>
      <c r="S12" s="16"/>
      <c r="T12" s="16"/>
      <c r="U12" s="17"/>
    </row>
    <row r="13" spans="1:21" ht="16.05" customHeight="1" x14ac:dyDescent="0.3">
      <c r="A13" s="16"/>
      <c r="B13" s="16"/>
      <c r="C13" s="17"/>
      <c r="D13" s="17"/>
      <c r="E13" s="16"/>
      <c r="F13" s="16"/>
      <c r="G13" s="16"/>
      <c r="H13" s="16"/>
      <c r="I13" s="17"/>
      <c r="J13" s="17"/>
      <c r="K13" s="17"/>
      <c r="L13" s="17"/>
      <c r="M13" s="17"/>
      <c r="N13" s="16"/>
      <c r="O13" s="16"/>
      <c r="P13" s="16"/>
      <c r="Q13" s="18"/>
      <c r="R13" s="18"/>
      <c r="S13" s="16"/>
      <c r="T13" s="16"/>
      <c r="U13" s="17"/>
    </row>
    <row r="14" spans="1:21" ht="16.05" customHeight="1" x14ac:dyDescent="0.3">
      <c r="A14" s="16"/>
      <c r="B14" s="16"/>
      <c r="C14" s="17"/>
      <c r="D14" s="17"/>
      <c r="E14" s="16"/>
      <c r="F14" s="16"/>
      <c r="G14" s="16"/>
      <c r="H14" s="16"/>
      <c r="I14" s="17"/>
      <c r="J14" s="17"/>
      <c r="K14" s="17"/>
      <c r="L14" s="17"/>
      <c r="M14" s="17"/>
      <c r="N14" s="16"/>
      <c r="O14" s="16"/>
      <c r="P14" s="16"/>
      <c r="Q14" s="18"/>
      <c r="R14" s="18"/>
      <c r="S14" s="16"/>
      <c r="T14" s="16"/>
      <c r="U14" s="17"/>
    </row>
    <row r="15" spans="1:21" ht="16.05" customHeight="1" x14ac:dyDescent="0.3">
      <c r="A15" s="16"/>
      <c r="B15" s="16"/>
      <c r="C15" s="17"/>
      <c r="D15" s="17"/>
      <c r="E15" s="16"/>
      <c r="F15" s="16"/>
      <c r="G15" s="16"/>
      <c r="H15" s="16"/>
      <c r="I15" s="17"/>
      <c r="J15" s="17"/>
      <c r="K15" s="17"/>
      <c r="L15" s="17"/>
      <c r="M15" s="17"/>
      <c r="N15" s="16"/>
      <c r="O15" s="16"/>
      <c r="P15" s="16"/>
      <c r="Q15" s="18"/>
      <c r="R15" s="18"/>
      <c r="S15" s="16"/>
      <c r="T15" s="16"/>
      <c r="U15" s="17"/>
    </row>
    <row r="16" spans="1:21" ht="16.05" customHeight="1" x14ac:dyDescent="0.3">
      <c r="A16" s="16"/>
      <c r="B16" s="16"/>
      <c r="C16" s="17"/>
      <c r="D16" s="17"/>
      <c r="E16" s="16"/>
      <c r="F16" s="16"/>
      <c r="G16" s="16"/>
      <c r="H16" s="16"/>
      <c r="I16" s="17"/>
      <c r="J16" s="17"/>
      <c r="K16" s="17"/>
      <c r="L16" s="17"/>
      <c r="M16" s="17"/>
      <c r="N16" s="16"/>
      <c r="O16" s="16"/>
      <c r="P16" s="16"/>
      <c r="Q16" s="18"/>
      <c r="R16" s="18"/>
      <c r="S16" s="16"/>
      <c r="T16" s="16"/>
      <c r="U16" s="17"/>
    </row>
    <row r="17" spans="1:21" ht="16.05" customHeight="1" x14ac:dyDescent="0.3">
      <c r="A17" s="16"/>
      <c r="B17" s="16"/>
      <c r="C17" s="17"/>
      <c r="D17" s="17"/>
      <c r="E17" s="16"/>
      <c r="F17" s="16"/>
      <c r="G17" s="16"/>
      <c r="H17" s="16"/>
      <c r="I17" s="17"/>
      <c r="J17" s="17"/>
      <c r="K17" s="17"/>
      <c r="L17" s="17"/>
      <c r="M17" s="17"/>
      <c r="N17" s="16"/>
      <c r="O17" s="16"/>
      <c r="P17" s="16"/>
      <c r="Q17" s="18"/>
      <c r="R17" s="18"/>
      <c r="S17" s="16"/>
      <c r="T17" s="16"/>
      <c r="U17" s="17"/>
    </row>
    <row r="18" spans="1:21" ht="16.05" customHeight="1" x14ac:dyDescent="0.3">
      <c r="A18" s="16"/>
      <c r="B18" s="16"/>
      <c r="C18" s="17"/>
      <c r="D18" s="17"/>
      <c r="E18" s="16"/>
      <c r="F18" s="16"/>
      <c r="G18" s="16"/>
      <c r="H18" s="16"/>
      <c r="I18" s="17"/>
      <c r="J18" s="17"/>
      <c r="K18" s="17"/>
      <c r="L18" s="17"/>
      <c r="M18" s="17"/>
      <c r="N18" s="16"/>
      <c r="O18" s="16"/>
      <c r="P18" s="16"/>
      <c r="Q18" s="18"/>
      <c r="R18" s="18"/>
      <c r="S18" s="16"/>
      <c r="T18" s="16"/>
      <c r="U18" s="17"/>
    </row>
    <row r="19" spans="1:21" ht="16.05" customHeight="1" x14ac:dyDescent="0.3">
      <c r="A19" s="16"/>
      <c r="B19" s="16"/>
      <c r="C19" s="17"/>
      <c r="D19" s="17"/>
      <c r="E19" s="16"/>
      <c r="F19" s="16"/>
      <c r="G19" s="16"/>
      <c r="H19" s="16"/>
      <c r="I19" s="17"/>
      <c r="J19" s="17"/>
      <c r="K19" s="17"/>
      <c r="L19" s="17"/>
      <c r="M19" s="17"/>
      <c r="N19" s="16"/>
      <c r="O19" s="16"/>
      <c r="P19" s="16"/>
      <c r="Q19" s="18"/>
      <c r="R19" s="18"/>
      <c r="S19" s="16"/>
      <c r="T19" s="16"/>
      <c r="U19" s="17"/>
    </row>
    <row r="20" spans="1:21" ht="16.05" customHeight="1" x14ac:dyDescent="0.3">
      <c r="A20" s="16"/>
      <c r="B20" s="16"/>
      <c r="C20" s="17"/>
      <c r="D20" s="17"/>
      <c r="E20" s="16"/>
      <c r="F20" s="16"/>
      <c r="G20" s="16"/>
      <c r="H20" s="16"/>
      <c r="I20" s="17"/>
      <c r="J20" s="17"/>
      <c r="K20" s="17"/>
      <c r="L20" s="17"/>
      <c r="M20" s="17"/>
      <c r="N20" s="16"/>
      <c r="O20" s="16"/>
      <c r="P20" s="16"/>
      <c r="Q20" s="18"/>
      <c r="R20" s="18"/>
      <c r="S20" s="16"/>
      <c r="T20" s="16"/>
      <c r="U20" s="17"/>
    </row>
    <row r="21" spans="1:21" ht="16.05" customHeight="1" x14ac:dyDescent="0.3">
      <c r="A21" s="16"/>
      <c r="B21" s="16"/>
      <c r="C21" s="17"/>
      <c r="D21" s="17"/>
      <c r="E21" s="16"/>
      <c r="F21" s="16"/>
      <c r="G21" s="16"/>
      <c r="H21" s="16"/>
      <c r="I21" s="17"/>
      <c r="J21" s="17"/>
      <c r="K21" s="17"/>
      <c r="L21" s="17"/>
      <c r="M21" s="17"/>
      <c r="N21" s="16"/>
      <c r="O21" s="16"/>
      <c r="P21" s="16"/>
      <c r="Q21" s="18"/>
      <c r="R21" s="18"/>
      <c r="S21" s="16"/>
      <c r="T21" s="16"/>
      <c r="U21" s="17"/>
    </row>
    <row r="22" spans="1:21" ht="16.05" customHeight="1" x14ac:dyDescent="0.3">
      <c r="A22" s="16"/>
      <c r="B22" s="16"/>
      <c r="C22" s="17"/>
      <c r="D22" s="17"/>
      <c r="E22" s="16"/>
      <c r="F22" s="16"/>
      <c r="G22" s="16"/>
      <c r="H22" s="16"/>
      <c r="I22" s="17"/>
      <c r="J22" s="17"/>
      <c r="K22" s="17"/>
      <c r="L22" s="17"/>
      <c r="M22" s="17"/>
      <c r="N22" s="16"/>
      <c r="O22" s="16"/>
      <c r="P22" s="16"/>
      <c r="Q22" s="18"/>
      <c r="R22" s="18"/>
      <c r="S22" s="16"/>
      <c r="T22" s="16"/>
      <c r="U22" s="17"/>
    </row>
    <row r="23" spans="1:21" ht="16.05" customHeight="1" x14ac:dyDescent="0.3">
      <c r="A23" s="16"/>
      <c r="B23" s="16"/>
      <c r="C23" s="17"/>
      <c r="D23" s="17"/>
      <c r="E23" s="16"/>
      <c r="F23" s="16"/>
      <c r="G23" s="16"/>
      <c r="H23" s="16"/>
      <c r="I23" s="17"/>
      <c r="J23" s="17"/>
      <c r="K23" s="17"/>
      <c r="L23" s="17"/>
      <c r="M23" s="17"/>
      <c r="N23" s="16"/>
      <c r="O23" s="16"/>
      <c r="P23" s="16"/>
      <c r="Q23" s="18"/>
      <c r="R23" s="18"/>
      <c r="S23" s="16"/>
      <c r="T23" s="16"/>
      <c r="U23" s="17"/>
    </row>
    <row r="24" spans="1:21" ht="16.05" customHeight="1" x14ac:dyDescent="0.3">
      <c r="A24" s="16"/>
      <c r="B24" s="16"/>
      <c r="C24" s="17"/>
      <c r="D24" s="17"/>
      <c r="E24" s="16"/>
      <c r="F24" s="16"/>
      <c r="G24" s="16"/>
      <c r="H24" s="16"/>
      <c r="I24" s="17"/>
      <c r="J24" s="17"/>
      <c r="K24" s="17"/>
      <c r="L24" s="17"/>
      <c r="M24" s="17"/>
      <c r="N24" s="16"/>
      <c r="O24" s="16"/>
      <c r="P24" s="16"/>
      <c r="Q24" s="18"/>
      <c r="R24" s="18"/>
      <c r="S24" s="16"/>
      <c r="T24" s="16"/>
      <c r="U24" s="17"/>
    </row>
    <row r="25" spans="1:21" ht="16.05" customHeight="1" x14ac:dyDescent="0.3">
      <c r="A25" s="16"/>
      <c r="B25" s="16"/>
      <c r="C25" s="17"/>
      <c r="D25" s="17"/>
      <c r="E25" s="16"/>
      <c r="F25" s="16"/>
      <c r="G25" s="16"/>
      <c r="H25" s="16"/>
      <c r="I25" s="17"/>
      <c r="J25" s="17"/>
      <c r="K25" s="17"/>
      <c r="L25" s="17"/>
      <c r="M25" s="17"/>
      <c r="N25" s="16"/>
      <c r="O25" s="16"/>
      <c r="P25" s="16"/>
      <c r="Q25" s="18"/>
      <c r="R25" s="18"/>
      <c r="S25" s="16"/>
      <c r="T25" s="16"/>
      <c r="U25" s="17"/>
    </row>
    <row r="26" spans="1:21" ht="16.05" customHeight="1" x14ac:dyDescent="0.3">
      <c r="A26" s="16"/>
      <c r="B26" s="16"/>
      <c r="C26" s="17"/>
      <c r="D26" s="17"/>
      <c r="E26" s="16"/>
      <c r="F26" s="16"/>
      <c r="G26" s="16"/>
      <c r="H26" s="16"/>
      <c r="I26" s="17"/>
      <c r="J26" s="17"/>
      <c r="K26" s="17"/>
      <c r="L26" s="17"/>
      <c r="M26" s="17"/>
      <c r="N26" s="16"/>
      <c r="O26" s="16"/>
      <c r="P26" s="16"/>
      <c r="Q26" s="18"/>
      <c r="R26" s="18"/>
      <c r="S26" s="16"/>
      <c r="T26" s="16"/>
      <c r="U26" s="17"/>
    </row>
    <row r="27" spans="1:21" ht="16.05" customHeight="1" x14ac:dyDescent="0.3">
      <c r="A27" s="16"/>
      <c r="B27" s="16"/>
      <c r="C27" s="17"/>
      <c r="D27" s="17"/>
      <c r="E27" s="16"/>
      <c r="F27" s="16"/>
      <c r="G27" s="16"/>
      <c r="H27" s="16"/>
      <c r="I27" s="17"/>
      <c r="J27" s="17"/>
      <c r="K27" s="17"/>
      <c r="L27" s="17"/>
      <c r="M27" s="17"/>
      <c r="N27" s="16"/>
      <c r="O27" s="16"/>
      <c r="P27" s="16"/>
      <c r="Q27" s="18"/>
      <c r="R27" s="18"/>
      <c r="S27" s="16"/>
      <c r="T27" s="16"/>
      <c r="U27" s="17"/>
    </row>
    <row r="28" spans="1:21" ht="16.05" customHeight="1" x14ac:dyDescent="0.3">
      <c r="A28" s="16"/>
      <c r="B28" s="16"/>
      <c r="C28" s="17"/>
      <c r="D28" s="17"/>
      <c r="E28" s="16"/>
      <c r="F28" s="16"/>
      <c r="G28" s="16"/>
      <c r="H28" s="16"/>
      <c r="I28" s="17"/>
      <c r="J28" s="17"/>
      <c r="K28" s="17"/>
      <c r="L28" s="17"/>
      <c r="M28" s="17"/>
      <c r="N28" s="16"/>
      <c r="O28" s="16"/>
      <c r="P28" s="16"/>
      <c r="Q28" s="18"/>
      <c r="R28" s="18"/>
      <c r="S28" s="16"/>
      <c r="T28" s="16"/>
      <c r="U28" s="17"/>
    </row>
    <row r="29" spans="1:21" ht="16.05" customHeight="1" x14ac:dyDescent="0.3">
      <c r="A29" s="16"/>
      <c r="B29" s="16"/>
      <c r="C29" s="17"/>
      <c r="D29" s="17"/>
      <c r="E29" s="16"/>
      <c r="F29" s="16"/>
      <c r="G29" s="16"/>
      <c r="H29" s="16"/>
      <c r="I29" s="17"/>
      <c r="J29" s="17"/>
      <c r="K29" s="17"/>
      <c r="L29" s="17"/>
      <c r="M29" s="17"/>
      <c r="N29" s="16"/>
      <c r="O29" s="16"/>
      <c r="P29" s="16"/>
      <c r="Q29" s="18"/>
      <c r="R29" s="18"/>
      <c r="S29" s="16"/>
      <c r="T29" s="16"/>
      <c r="U29" s="17"/>
    </row>
    <row r="30" spans="1:21" ht="16.05" customHeight="1" x14ac:dyDescent="0.3">
      <c r="A30" s="16"/>
      <c r="B30" s="16"/>
      <c r="C30" s="17"/>
      <c r="D30" s="17"/>
      <c r="E30" s="16"/>
      <c r="F30" s="16"/>
      <c r="G30" s="16"/>
      <c r="H30" s="16"/>
      <c r="I30" s="17"/>
      <c r="J30" s="17"/>
      <c r="K30" s="17"/>
      <c r="L30" s="17"/>
      <c r="M30" s="17"/>
      <c r="N30" s="16"/>
      <c r="O30" s="16"/>
      <c r="P30" s="16"/>
      <c r="Q30" s="18"/>
      <c r="R30" s="18"/>
      <c r="S30" s="16"/>
      <c r="T30" s="16"/>
      <c r="U30" s="17"/>
    </row>
    <row r="31" spans="1:21" ht="16.05" customHeight="1" x14ac:dyDescent="0.3">
      <c r="A31" s="16"/>
      <c r="B31" s="16"/>
      <c r="C31" s="17"/>
      <c r="D31" s="17"/>
      <c r="E31" s="16"/>
      <c r="F31" s="16"/>
      <c r="G31" s="16"/>
      <c r="H31" s="16"/>
      <c r="I31" s="17"/>
      <c r="J31" s="17"/>
      <c r="K31" s="17"/>
      <c r="L31" s="17"/>
      <c r="M31" s="17"/>
      <c r="N31" s="16"/>
      <c r="O31" s="16"/>
      <c r="P31" s="16"/>
      <c r="Q31" s="18"/>
      <c r="R31" s="18"/>
      <c r="S31" s="16"/>
      <c r="T31" s="16"/>
      <c r="U31" s="17"/>
    </row>
    <row r="32" spans="1:21" ht="16.05" customHeight="1" x14ac:dyDescent="0.3">
      <c r="A32" s="16"/>
      <c r="B32" s="16"/>
      <c r="C32" s="17"/>
      <c r="D32" s="17"/>
      <c r="E32" s="16"/>
      <c r="F32" s="16"/>
      <c r="G32" s="16"/>
      <c r="H32" s="16"/>
      <c r="I32" s="17"/>
      <c r="J32" s="17"/>
      <c r="K32" s="17"/>
      <c r="L32" s="17"/>
      <c r="M32" s="17"/>
      <c r="N32" s="16"/>
      <c r="O32" s="16"/>
      <c r="P32" s="16"/>
      <c r="Q32" s="18"/>
      <c r="R32" s="18"/>
      <c r="S32" s="16"/>
      <c r="T32" s="16"/>
      <c r="U32" s="17"/>
    </row>
    <row r="33" spans="1:21" ht="16.05" customHeight="1" x14ac:dyDescent="0.3">
      <c r="A33" s="16"/>
      <c r="B33" s="16"/>
      <c r="C33" s="17"/>
      <c r="D33" s="17"/>
      <c r="E33" s="16"/>
      <c r="F33" s="16"/>
      <c r="G33" s="16"/>
      <c r="H33" s="16"/>
      <c r="I33" s="17"/>
      <c r="J33" s="17"/>
      <c r="K33" s="17"/>
      <c r="L33" s="17"/>
      <c r="M33" s="17"/>
      <c r="N33" s="16"/>
      <c r="O33" s="16"/>
      <c r="P33" s="16"/>
      <c r="Q33" s="18"/>
      <c r="R33" s="18"/>
      <c r="S33" s="16"/>
      <c r="T33" s="16"/>
      <c r="U33" s="17"/>
    </row>
    <row r="34" spans="1:21" ht="16.05" customHeight="1" x14ac:dyDescent="0.3">
      <c r="A34" s="16"/>
      <c r="B34" s="16"/>
      <c r="C34" s="17"/>
      <c r="D34" s="17"/>
      <c r="E34" s="16"/>
      <c r="F34" s="16"/>
      <c r="G34" s="16"/>
      <c r="H34" s="16"/>
      <c r="I34" s="17"/>
      <c r="J34" s="17"/>
      <c r="K34" s="17"/>
      <c r="L34" s="17"/>
      <c r="M34" s="17"/>
      <c r="N34" s="16"/>
      <c r="O34" s="16"/>
      <c r="P34" s="16"/>
      <c r="Q34" s="18"/>
      <c r="R34" s="18"/>
      <c r="S34" s="16"/>
      <c r="T34" s="16"/>
      <c r="U34" s="17"/>
    </row>
    <row r="35" spans="1:21" ht="16.05" customHeight="1" x14ac:dyDescent="0.3">
      <c r="A35" s="16"/>
      <c r="B35" s="16"/>
      <c r="C35" s="17"/>
      <c r="D35" s="17"/>
      <c r="E35" s="16"/>
      <c r="F35" s="16"/>
      <c r="G35" s="16"/>
      <c r="H35" s="16"/>
      <c r="I35" s="17"/>
      <c r="J35" s="17"/>
      <c r="K35" s="17"/>
      <c r="L35" s="17"/>
      <c r="M35" s="17"/>
      <c r="N35" s="16"/>
      <c r="O35" s="16"/>
      <c r="P35" s="16"/>
      <c r="Q35" s="18"/>
      <c r="R35" s="18"/>
      <c r="S35" s="16"/>
      <c r="T35" s="16"/>
      <c r="U35" s="17"/>
    </row>
    <row r="36" spans="1:21" ht="16.05" customHeight="1" x14ac:dyDescent="0.3">
      <c r="A36" s="16"/>
      <c r="B36" s="16"/>
      <c r="C36" s="17"/>
      <c r="D36" s="17"/>
      <c r="E36" s="16"/>
      <c r="F36" s="16"/>
      <c r="G36" s="16"/>
      <c r="H36" s="16"/>
      <c r="I36" s="17"/>
      <c r="J36" s="17"/>
      <c r="K36" s="17"/>
      <c r="L36" s="17"/>
      <c r="M36" s="17"/>
      <c r="N36" s="16"/>
      <c r="O36" s="16"/>
      <c r="P36" s="16"/>
      <c r="Q36" s="18"/>
      <c r="R36" s="18"/>
      <c r="S36" s="16"/>
      <c r="T36" s="16"/>
      <c r="U36" s="17"/>
    </row>
    <row r="37" spans="1:21" ht="16.05" customHeight="1" x14ac:dyDescent="0.3">
      <c r="A37" s="16"/>
      <c r="B37" s="16"/>
      <c r="C37" s="17"/>
      <c r="D37" s="17"/>
      <c r="E37" s="16"/>
      <c r="F37" s="16"/>
      <c r="G37" s="16"/>
      <c r="H37" s="16"/>
      <c r="I37" s="17"/>
      <c r="J37" s="17"/>
      <c r="K37" s="17"/>
      <c r="L37" s="17"/>
      <c r="M37" s="17"/>
      <c r="N37" s="16"/>
      <c r="O37" s="16"/>
      <c r="P37" s="16"/>
      <c r="Q37" s="18"/>
      <c r="R37" s="18"/>
      <c r="S37" s="16"/>
      <c r="T37" s="16"/>
      <c r="U37" s="17"/>
    </row>
    <row r="38" spans="1:21" ht="16.05" customHeight="1" x14ac:dyDescent="0.3">
      <c r="A38" s="16"/>
      <c r="B38" s="16"/>
      <c r="C38" s="17"/>
      <c r="D38" s="17"/>
      <c r="E38" s="16"/>
      <c r="F38" s="16"/>
      <c r="G38" s="16"/>
      <c r="H38" s="16"/>
      <c r="I38" s="17"/>
      <c r="J38" s="17"/>
      <c r="K38" s="17"/>
      <c r="L38" s="17"/>
      <c r="M38" s="17"/>
      <c r="N38" s="16"/>
      <c r="O38" s="16"/>
      <c r="P38" s="16"/>
      <c r="Q38" s="18"/>
      <c r="R38" s="18"/>
      <c r="S38" s="16"/>
      <c r="T38" s="16"/>
      <c r="U38" s="17"/>
    </row>
    <row r="39" spans="1:21" ht="16.05" customHeight="1" x14ac:dyDescent="0.3">
      <c r="A39" s="16"/>
      <c r="B39" s="16"/>
      <c r="C39" s="17"/>
      <c r="D39" s="17"/>
      <c r="E39" s="16"/>
      <c r="F39" s="16"/>
      <c r="G39" s="16"/>
      <c r="H39" s="16"/>
      <c r="I39" s="17"/>
      <c r="J39" s="17"/>
      <c r="K39" s="17"/>
      <c r="L39" s="17"/>
      <c r="M39" s="17"/>
      <c r="N39" s="16"/>
      <c r="O39" s="16"/>
      <c r="P39" s="16"/>
      <c r="Q39" s="18"/>
      <c r="R39" s="18"/>
      <c r="S39" s="16"/>
      <c r="T39" s="16"/>
      <c r="U39" s="17"/>
    </row>
    <row r="40" spans="1:21" ht="16.05" customHeight="1" x14ac:dyDescent="0.3">
      <c r="A40" s="16"/>
      <c r="B40" s="16"/>
      <c r="C40" s="17"/>
      <c r="D40" s="17"/>
      <c r="E40" s="16"/>
      <c r="F40" s="16"/>
      <c r="G40" s="16"/>
      <c r="H40" s="16"/>
      <c r="I40" s="17"/>
      <c r="J40" s="17"/>
      <c r="K40" s="17"/>
      <c r="L40" s="17"/>
      <c r="M40" s="17"/>
      <c r="N40" s="16"/>
      <c r="O40" s="16"/>
      <c r="P40" s="16"/>
      <c r="Q40" s="18"/>
      <c r="R40" s="18"/>
      <c r="S40" s="16"/>
      <c r="T40" s="16"/>
      <c r="U40" s="17"/>
    </row>
    <row r="41" spans="1:21" ht="16.05" customHeight="1" x14ac:dyDescent="0.3">
      <c r="A41" s="16"/>
      <c r="B41" s="16"/>
      <c r="C41" s="17"/>
      <c r="D41" s="17"/>
      <c r="E41" s="16"/>
      <c r="F41" s="16"/>
      <c r="G41" s="16"/>
      <c r="H41" s="16"/>
      <c r="I41" s="17"/>
      <c r="J41" s="17"/>
      <c r="K41" s="17"/>
      <c r="L41" s="17"/>
      <c r="M41" s="17"/>
      <c r="N41" s="16"/>
      <c r="O41" s="16"/>
      <c r="P41" s="16"/>
      <c r="Q41" s="18"/>
      <c r="R41" s="18"/>
      <c r="S41" s="16"/>
      <c r="T41" s="16"/>
      <c r="U41" s="17"/>
    </row>
    <row r="42" spans="1:21" ht="16.05" customHeight="1" x14ac:dyDescent="0.3">
      <c r="A42" s="16"/>
      <c r="B42" s="16"/>
      <c r="C42" s="17"/>
      <c r="D42" s="17"/>
      <c r="E42" s="16"/>
      <c r="F42" s="16"/>
      <c r="G42" s="16"/>
      <c r="H42" s="16"/>
      <c r="I42" s="17"/>
      <c r="J42" s="17"/>
      <c r="K42" s="17"/>
      <c r="L42" s="17"/>
      <c r="M42" s="17"/>
      <c r="N42" s="16"/>
      <c r="O42" s="16"/>
      <c r="P42" s="16"/>
      <c r="Q42" s="18"/>
      <c r="R42" s="18"/>
      <c r="S42" s="16"/>
      <c r="T42" s="16"/>
      <c r="U42" s="17"/>
    </row>
    <row r="43" spans="1:21" ht="16.05" customHeight="1" x14ac:dyDescent="0.3">
      <c r="A43" s="16"/>
      <c r="B43" s="16"/>
      <c r="C43" s="17"/>
      <c r="D43" s="17"/>
      <c r="E43" s="16"/>
      <c r="F43" s="16"/>
      <c r="G43" s="16"/>
      <c r="H43" s="16"/>
      <c r="I43" s="17"/>
      <c r="J43" s="17"/>
      <c r="K43" s="17"/>
      <c r="L43" s="17"/>
      <c r="M43" s="17"/>
      <c r="N43" s="16"/>
      <c r="O43" s="16"/>
      <c r="P43" s="16"/>
      <c r="Q43" s="18"/>
      <c r="R43" s="18"/>
      <c r="S43" s="16"/>
      <c r="T43" s="16"/>
      <c r="U43" s="17"/>
    </row>
    <row r="44" spans="1:21" ht="16.05" customHeight="1" x14ac:dyDescent="0.3">
      <c r="A44" s="16"/>
      <c r="B44" s="16"/>
      <c r="C44" s="17"/>
      <c r="D44" s="17"/>
      <c r="E44" s="16"/>
      <c r="F44" s="16"/>
      <c r="G44" s="16"/>
      <c r="H44" s="16"/>
      <c r="I44" s="17"/>
      <c r="J44" s="17"/>
      <c r="K44" s="17"/>
      <c r="L44" s="17"/>
      <c r="M44" s="17"/>
      <c r="N44" s="16"/>
      <c r="O44" s="16"/>
      <c r="P44" s="16"/>
      <c r="Q44" s="18"/>
      <c r="R44" s="18"/>
      <c r="S44" s="16"/>
      <c r="T44" s="16"/>
      <c r="U44" s="17"/>
    </row>
    <row r="45" spans="1:21" ht="16.05" customHeight="1" x14ac:dyDescent="0.3">
      <c r="A45" s="16"/>
      <c r="B45" s="16"/>
      <c r="C45" s="17"/>
      <c r="D45" s="17"/>
      <c r="E45" s="16"/>
      <c r="F45" s="16"/>
      <c r="G45" s="16"/>
      <c r="H45" s="16"/>
      <c r="I45" s="17"/>
      <c r="J45" s="17"/>
      <c r="K45" s="17"/>
      <c r="L45" s="17"/>
      <c r="M45" s="17"/>
      <c r="N45" s="16"/>
      <c r="O45" s="16"/>
      <c r="P45" s="16"/>
      <c r="Q45" s="18"/>
      <c r="R45" s="18"/>
      <c r="S45" s="16"/>
      <c r="T45" s="16"/>
      <c r="U45" s="17"/>
    </row>
    <row r="46" spans="1:21" ht="16.05" customHeight="1" x14ac:dyDescent="0.3">
      <c r="A46" s="16"/>
      <c r="B46" s="16"/>
      <c r="C46" s="17"/>
      <c r="D46" s="17"/>
      <c r="E46" s="16"/>
      <c r="F46" s="16"/>
      <c r="G46" s="16"/>
      <c r="H46" s="16"/>
      <c r="I46" s="17"/>
      <c r="J46" s="17"/>
      <c r="K46" s="17"/>
      <c r="L46" s="17"/>
      <c r="M46" s="17"/>
      <c r="N46" s="16"/>
      <c r="O46" s="16"/>
      <c r="P46" s="16"/>
      <c r="Q46" s="18"/>
      <c r="R46" s="18"/>
      <c r="S46" s="16"/>
      <c r="T46" s="16"/>
      <c r="U46" s="17"/>
    </row>
    <row r="47" spans="1:21" ht="16.05" customHeight="1" x14ac:dyDescent="0.3">
      <c r="A47" s="16"/>
      <c r="B47" s="16"/>
      <c r="C47" s="17"/>
      <c r="D47" s="17"/>
      <c r="E47" s="16"/>
      <c r="F47" s="16"/>
      <c r="G47" s="16"/>
      <c r="H47" s="16"/>
      <c r="I47" s="17"/>
      <c r="J47" s="17"/>
      <c r="K47" s="17"/>
      <c r="L47" s="17"/>
      <c r="M47" s="17"/>
      <c r="N47" s="16"/>
      <c r="O47" s="16"/>
      <c r="P47" s="16"/>
      <c r="Q47" s="18"/>
      <c r="R47" s="18"/>
      <c r="S47" s="16"/>
      <c r="T47" s="16"/>
      <c r="U47" s="17"/>
    </row>
    <row r="48" spans="1:21" ht="16.05" customHeight="1" x14ac:dyDescent="0.3">
      <c r="A48" s="16"/>
      <c r="B48" s="16"/>
      <c r="C48" s="17"/>
      <c r="D48" s="17"/>
      <c r="E48" s="16"/>
      <c r="F48" s="16"/>
      <c r="G48" s="16"/>
      <c r="H48" s="16"/>
      <c r="I48" s="17"/>
      <c r="J48" s="17"/>
      <c r="K48" s="17"/>
      <c r="L48" s="17"/>
      <c r="M48" s="17"/>
      <c r="N48" s="16"/>
      <c r="O48" s="16"/>
      <c r="P48" s="16"/>
      <c r="Q48" s="18"/>
      <c r="R48" s="18"/>
      <c r="S48" s="16"/>
      <c r="T48" s="16"/>
      <c r="U48" s="17"/>
    </row>
    <row r="49" spans="1:21" ht="16.05" customHeight="1" x14ac:dyDescent="0.3">
      <c r="A49" s="16"/>
      <c r="B49" s="16"/>
      <c r="C49" s="17"/>
      <c r="D49" s="17"/>
      <c r="E49" s="16"/>
      <c r="F49" s="16"/>
      <c r="G49" s="16"/>
      <c r="H49" s="16"/>
      <c r="I49" s="17"/>
      <c r="J49" s="17"/>
      <c r="K49" s="17"/>
      <c r="L49" s="17"/>
      <c r="M49" s="17"/>
      <c r="N49" s="16"/>
      <c r="O49" s="16"/>
      <c r="P49" s="16"/>
      <c r="Q49" s="18"/>
      <c r="R49" s="18"/>
      <c r="S49" s="16"/>
      <c r="T49" s="16"/>
      <c r="U49" s="17"/>
    </row>
    <row r="50" spans="1:21" ht="16.05" customHeight="1" x14ac:dyDescent="0.3">
      <c r="A50" s="16"/>
      <c r="B50" s="16"/>
      <c r="C50" s="17"/>
      <c r="D50" s="17"/>
      <c r="E50" s="16"/>
      <c r="F50" s="16"/>
      <c r="G50" s="16"/>
      <c r="H50" s="16"/>
      <c r="I50" s="17"/>
      <c r="J50" s="17"/>
      <c r="K50" s="17"/>
      <c r="L50" s="17"/>
      <c r="M50" s="17"/>
      <c r="N50" s="16"/>
      <c r="O50" s="16"/>
      <c r="P50" s="16"/>
      <c r="Q50" s="18"/>
      <c r="R50" s="18"/>
      <c r="S50" s="16"/>
      <c r="T50" s="16"/>
      <c r="U50" s="17"/>
    </row>
    <row r="51" spans="1:21" ht="16.05" customHeight="1" x14ac:dyDescent="0.3">
      <c r="A51" s="16"/>
      <c r="B51" s="16"/>
      <c r="C51" s="17"/>
      <c r="D51" s="17"/>
      <c r="E51" s="16"/>
      <c r="F51" s="16"/>
      <c r="G51" s="16"/>
      <c r="H51" s="16"/>
      <c r="I51" s="17"/>
      <c r="J51" s="17"/>
      <c r="K51" s="17"/>
      <c r="L51" s="17"/>
      <c r="M51" s="17"/>
      <c r="N51" s="16"/>
      <c r="O51" s="16"/>
      <c r="P51" s="16"/>
      <c r="Q51" s="18"/>
      <c r="R51" s="18"/>
      <c r="S51" s="16"/>
      <c r="T51" s="16"/>
      <c r="U51" s="17"/>
    </row>
    <row r="52" spans="1:21" ht="16.05" customHeight="1" x14ac:dyDescent="0.3">
      <c r="A52" s="16"/>
      <c r="B52" s="16"/>
      <c r="C52" s="17"/>
      <c r="D52" s="17"/>
      <c r="E52" s="16"/>
      <c r="F52" s="16"/>
      <c r="G52" s="16"/>
      <c r="H52" s="16"/>
      <c r="I52" s="17"/>
      <c r="J52" s="17"/>
      <c r="K52" s="17"/>
      <c r="L52" s="17"/>
      <c r="M52" s="17"/>
      <c r="N52" s="16"/>
      <c r="O52" s="16"/>
      <c r="P52" s="16"/>
      <c r="Q52" s="18"/>
      <c r="R52" s="18"/>
      <c r="S52" s="16"/>
      <c r="T52" s="16"/>
      <c r="U52" s="17"/>
    </row>
    <row r="53" spans="1:21" ht="16.05" customHeight="1" x14ac:dyDescent="0.3">
      <c r="A53" s="16"/>
      <c r="B53" s="16"/>
      <c r="C53" s="17"/>
      <c r="D53" s="17"/>
      <c r="E53" s="16"/>
      <c r="F53" s="16"/>
      <c r="G53" s="16"/>
      <c r="H53" s="16"/>
      <c r="I53" s="17"/>
      <c r="J53" s="17"/>
      <c r="K53" s="17"/>
      <c r="L53" s="17"/>
      <c r="M53" s="17"/>
      <c r="N53" s="16"/>
      <c r="O53" s="16"/>
      <c r="P53" s="16"/>
      <c r="Q53" s="18"/>
      <c r="R53" s="18"/>
      <c r="S53" s="16"/>
      <c r="T53" s="16"/>
      <c r="U53" s="17"/>
    </row>
    <row r="54" spans="1:21" ht="16.05" customHeight="1" x14ac:dyDescent="0.3">
      <c r="A54" s="16"/>
      <c r="B54" s="16"/>
      <c r="C54" s="17"/>
      <c r="D54" s="17"/>
      <c r="E54" s="16"/>
      <c r="F54" s="16"/>
      <c r="G54" s="16"/>
      <c r="H54" s="16"/>
      <c r="I54" s="17"/>
      <c r="J54" s="17"/>
      <c r="K54" s="17"/>
      <c r="L54" s="17"/>
      <c r="M54" s="17"/>
      <c r="N54" s="16"/>
      <c r="O54" s="16"/>
      <c r="P54" s="16"/>
      <c r="Q54" s="18"/>
      <c r="R54" s="18"/>
      <c r="S54" s="16"/>
      <c r="T54" s="16"/>
      <c r="U54" s="17"/>
    </row>
    <row r="55" spans="1:21" ht="16.05" customHeight="1" x14ac:dyDescent="0.3">
      <c r="A55" s="16"/>
      <c r="B55" s="16"/>
      <c r="C55" s="17"/>
      <c r="D55" s="17"/>
      <c r="E55" s="16"/>
      <c r="F55" s="16"/>
      <c r="G55" s="16"/>
      <c r="H55" s="16"/>
      <c r="I55" s="17"/>
      <c r="J55" s="17"/>
      <c r="K55" s="17"/>
      <c r="L55" s="17"/>
      <c r="M55" s="17"/>
      <c r="N55" s="16"/>
      <c r="O55" s="16"/>
      <c r="P55" s="16"/>
      <c r="Q55" s="18"/>
      <c r="R55" s="18"/>
      <c r="S55" s="16"/>
      <c r="T55" s="16"/>
      <c r="U55" s="17"/>
    </row>
    <row r="56" spans="1:21" ht="16.05" customHeight="1" x14ac:dyDescent="0.3">
      <c r="A56" s="16"/>
      <c r="B56" s="16"/>
      <c r="C56" s="17"/>
      <c r="D56" s="17"/>
      <c r="E56" s="16"/>
      <c r="F56" s="16"/>
      <c r="G56" s="16"/>
      <c r="H56" s="16"/>
      <c r="I56" s="17"/>
      <c r="J56" s="17"/>
      <c r="K56" s="17"/>
      <c r="L56" s="17"/>
      <c r="M56" s="17"/>
      <c r="N56" s="16"/>
      <c r="O56" s="16"/>
      <c r="P56" s="16"/>
      <c r="Q56" s="18"/>
      <c r="R56" s="18"/>
      <c r="S56" s="16"/>
      <c r="T56" s="16"/>
      <c r="U56" s="17"/>
    </row>
    <row r="57" spans="1:21" ht="16.05" customHeight="1" x14ac:dyDescent="0.3">
      <c r="A57" s="16"/>
      <c r="B57" s="16"/>
      <c r="C57" s="17"/>
      <c r="D57" s="17"/>
      <c r="E57" s="16"/>
      <c r="F57" s="16"/>
      <c r="G57" s="16"/>
      <c r="H57" s="16"/>
      <c r="I57" s="17"/>
      <c r="J57" s="17"/>
      <c r="K57" s="17"/>
      <c r="L57" s="17"/>
      <c r="M57" s="17"/>
      <c r="N57" s="16"/>
      <c r="O57" s="16"/>
      <c r="P57" s="16"/>
      <c r="Q57" s="18"/>
      <c r="R57" s="18"/>
      <c r="S57" s="16"/>
      <c r="T57" s="16"/>
      <c r="U57" s="17"/>
    </row>
    <row r="58" spans="1:21" ht="16.05" customHeight="1" x14ac:dyDescent="0.3">
      <c r="A58" s="16"/>
      <c r="B58" s="16"/>
      <c r="C58" s="17"/>
      <c r="D58" s="17"/>
      <c r="E58" s="16"/>
      <c r="F58" s="16"/>
      <c r="G58" s="16"/>
      <c r="H58" s="16"/>
      <c r="I58" s="17"/>
      <c r="J58" s="17"/>
      <c r="K58" s="17"/>
      <c r="L58" s="17"/>
      <c r="M58" s="17"/>
      <c r="N58" s="16"/>
      <c r="O58" s="16"/>
      <c r="P58" s="16"/>
      <c r="Q58" s="18"/>
      <c r="R58" s="18"/>
      <c r="S58" s="16"/>
      <c r="T58" s="16"/>
      <c r="U58" s="17"/>
    </row>
    <row r="59" spans="1:21" ht="16.05" customHeight="1" x14ac:dyDescent="0.3">
      <c r="A59" s="16"/>
      <c r="B59" s="16"/>
      <c r="C59" s="17"/>
      <c r="D59" s="17"/>
      <c r="E59" s="16"/>
      <c r="F59" s="16"/>
      <c r="G59" s="16"/>
      <c r="H59" s="16"/>
      <c r="I59" s="17"/>
      <c r="J59" s="17"/>
      <c r="K59" s="17"/>
      <c r="L59" s="17"/>
      <c r="M59" s="17"/>
      <c r="N59" s="16"/>
      <c r="O59" s="16"/>
      <c r="P59" s="16"/>
      <c r="Q59" s="18"/>
      <c r="R59" s="18"/>
      <c r="S59" s="16"/>
      <c r="T59" s="16"/>
      <c r="U59" s="17"/>
    </row>
    <row r="60" spans="1:21" ht="16.05" customHeight="1" x14ac:dyDescent="0.3">
      <c r="A60" s="16"/>
      <c r="B60" s="16"/>
      <c r="C60" s="17"/>
      <c r="D60" s="17"/>
      <c r="E60" s="16"/>
      <c r="F60" s="16"/>
      <c r="G60" s="16"/>
      <c r="H60" s="16"/>
      <c r="I60" s="17"/>
      <c r="J60" s="17"/>
      <c r="K60" s="17"/>
      <c r="L60" s="17"/>
      <c r="M60" s="17"/>
      <c r="N60" s="16"/>
      <c r="O60" s="16"/>
      <c r="P60" s="16"/>
      <c r="Q60" s="18"/>
      <c r="R60" s="18"/>
      <c r="S60" s="16"/>
      <c r="T60" s="16"/>
      <c r="U60" s="17"/>
    </row>
    <row r="61" spans="1:21" ht="16.05" customHeight="1" x14ac:dyDescent="0.3">
      <c r="A61" s="16"/>
      <c r="B61" s="16"/>
      <c r="C61" s="17"/>
      <c r="D61" s="17"/>
      <c r="E61" s="16"/>
      <c r="F61" s="16"/>
      <c r="G61" s="16"/>
      <c r="H61" s="16"/>
      <c r="I61" s="17"/>
      <c r="J61" s="17"/>
      <c r="K61" s="17"/>
      <c r="L61" s="17"/>
      <c r="M61" s="17"/>
      <c r="N61" s="16"/>
      <c r="O61" s="16"/>
      <c r="P61" s="16"/>
      <c r="Q61" s="18"/>
      <c r="R61" s="18"/>
      <c r="S61" s="16"/>
      <c r="T61" s="16"/>
      <c r="U61" s="17"/>
    </row>
    <row r="62" spans="1:21" ht="16.05" customHeight="1" x14ac:dyDescent="0.3">
      <c r="A62" s="16"/>
      <c r="B62" s="16"/>
      <c r="C62" s="17"/>
      <c r="D62" s="17"/>
      <c r="E62" s="16"/>
      <c r="F62" s="16"/>
      <c r="G62" s="16"/>
      <c r="H62" s="16"/>
      <c r="I62" s="17"/>
      <c r="J62" s="17"/>
      <c r="K62" s="17"/>
      <c r="L62" s="17"/>
      <c r="M62" s="17"/>
      <c r="N62" s="16"/>
      <c r="O62" s="16"/>
      <c r="P62" s="16"/>
      <c r="Q62" s="18"/>
      <c r="R62" s="18"/>
      <c r="S62" s="16"/>
      <c r="T62" s="16"/>
      <c r="U62" s="17"/>
    </row>
    <row r="63" spans="1:21" ht="16.05" customHeight="1" x14ac:dyDescent="0.3">
      <c r="A63" s="16"/>
      <c r="B63" s="16"/>
      <c r="C63" s="17"/>
      <c r="D63" s="17"/>
      <c r="E63" s="16"/>
      <c r="F63" s="16"/>
      <c r="G63" s="16"/>
      <c r="H63" s="16"/>
      <c r="I63" s="17"/>
      <c r="J63" s="17"/>
      <c r="K63" s="17"/>
      <c r="L63" s="17"/>
      <c r="M63" s="17"/>
      <c r="N63" s="16"/>
      <c r="O63" s="16"/>
      <c r="P63" s="16"/>
      <c r="Q63" s="18"/>
      <c r="R63" s="18"/>
      <c r="S63" s="16"/>
      <c r="T63" s="16"/>
      <c r="U63" s="17"/>
    </row>
    <row r="64" spans="1:21" ht="16.05" customHeight="1" x14ac:dyDescent="0.3">
      <c r="A64" s="16"/>
      <c r="B64" s="16"/>
      <c r="C64" s="17"/>
      <c r="D64" s="17"/>
      <c r="E64" s="16"/>
      <c r="F64" s="16"/>
      <c r="G64" s="16"/>
      <c r="H64" s="16"/>
      <c r="I64" s="17"/>
      <c r="J64" s="17"/>
      <c r="K64" s="17"/>
      <c r="L64" s="17"/>
      <c r="M64" s="17"/>
      <c r="N64" s="16"/>
      <c r="O64" s="16"/>
      <c r="P64" s="16"/>
      <c r="Q64" s="18"/>
      <c r="R64" s="18"/>
      <c r="S64" s="16"/>
      <c r="T64" s="16"/>
      <c r="U64" s="17"/>
    </row>
    <row r="65" spans="1:21" ht="16.05" customHeight="1" x14ac:dyDescent="0.3">
      <c r="A65" s="16"/>
      <c r="B65" s="16"/>
      <c r="C65" s="17"/>
      <c r="D65" s="17"/>
      <c r="E65" s="16"/>
      <c r="F65" s="16"/>
      <c r="G65" s="16"/>
      <c r="H65" s="16"/>
      <c r="I65" s="17"/>
      <c r="J65" s="17"/>
      <c r="K65" s="17"/>
      <c r="L65" s="17"/>
      <c r="M65" s="17"/>
      <c r="N65" s="16"/>
      <c r="O65" s="16"/>
      <c r="P65" s="16"/>
      <c r="Q65" s="18"/>
      <c r="R65" s="18"/>
      <c r="S65" s="16"/>
      <c r="T65" s="16"/>
      <c r="U65" s="17"/>
    </row>
    <row r="66" spans="1:21" ht="16.05" customHeight="1" x14ac:dyDescent="0.3">
      <c r="A66" s="16"/>
      <c r="B66" s="16"/>
      <c r="C66" s="17"/>
      <c r="D66" s="17"/>
      <c r="E66" s="16"/>
      <c r="F66" s="16"/>
      <c r="G66" s="16"/>
      <c r="H66" s="16"/>
      <c r="I66" s="17"/>
      <c r="J66" s="17"/>
      <c r="K66" s="17"/>
      <c r="L66" s="17"/>
      <c r="M66" s="17"/>
      <c r="N66" s="16"/>
      <c r="O66" s="16"/>
      <c r="P66" s="16"/>
      <c r="Q66" s="18"/>
      <c r="R66" s="18"/>
      <c r="S66" s="16"/>
      <c r="T66" s="16"/>
      <c r="U66" s="17"/>
    </row>
    <row r="67" spans="1:21" ht="16.05" customHeight="1" x14ac:dyDescent="0.3">
      <c r="A67" s="16"/>
      <c r="B67" s="16"/>
      <c r="C67" s="17"/>
      <c r="D67" s="17"/>
      <c r="E67" s="16"/>
      <c r="F67" s="16"/>
      <c r="G67" s="16"/>
      <c r="H67" s="16"/>
      <c r="I67" s="17"/>
      <c r="J67" s="17"/>
      <c r="K67" s="17"/>
      <c r="L67" s="17"/>
      <c r="M67" s="17"/>
      <c r="N67" s="16"/>
      <c r="O67" s="16"/>
      <c r="P67" s="16"/>
      <c r="Q67" s="18"/>
      <c r="R67" s="18"/>
      <c r="S67" s="16"/>
      <c r="T67" s="16"/>
      <c r="U67" s="17"/>
    </row>
    <row r="68" spans="1:21" ht="16.05" customHeight="1" x14ac:dyDescent="0.3">
      <c r="A68" s="16"/>
      <c r="B68" s="16"/>
      <c r="C68" s="17"/>
      <c r="D68" s="17"/>
      <c r="E68" s="16"/>
      <c r="F68" s="16"/>
      <c r="G68" s="16"/>
      <c r="H68" s="16"/>
      <c r="I68" s="17"/>
      <c r="J68" s="17"/>
      <c r="K68" s="17"/>
      <c r="L68" s="17"/>
      <c r="M68" s="17"/>
      <c r="N68" s="16"/>
      <c r="O68" s="16"/>
      <c r="P68" s="16"/>
      <c r="Q68" s="18"/>
      <c r="R68" s="18"/>
      <c r="S68" s="16"/>
      <c r="T68" s="16"/>
      <c r="U68" s="17"/>
    </row>
    <row r="69" spans="1:21" ht="16.05" customHeight="1" x14ac:dyDescent="0.3">
      <c r="A69" s="16"/>
      <c r="B69" s="16"/>
      <c r="C69" s="17"/>
      <c r="D69" s="17"/>
      <c r="E69" s="16"/>
      <c r="F69" s="16"/>
      <c r="G69" s="16"/>
      <c r="H69" s="16"/>
      <c r="I69" s="17"/>
      <c r="J69" s="17"/>
      <c r="K69" s="17"/>
      <c r="L69" s="17"/>
      <c r="M69" s="17"/>
      <c r="N69" s="16"/>
      <c r="O69" s="16"/>
      <c r="P69" s="16"/>
      <c r="Q69" s="18"/>
      <c r="R69" s="18"/>
      <c r="S69" s="16"/>
      <c r="T69" s="16"/>
      <c r="U69" s="17"/>
    </row>
    <row r="70" spans="1:21" ht="16.05" customHeight="1" x14ac:dyDescent="0.3">
      <c r="A70" s="16"/>
      <c r="B70" s="16"/>
      <c r="C70" s="17"/>
      <c r="D70" s="17"/>
      <c r="E70" s="16"/>
      <c r="F70" s="16"/>
      <c r="G70" s="16"/>
      <c r="H70" s="16"/>
      <c r="I70" s="17"/>
      <c r="J70" s="17"/>
      <c r="K70" s="17"/>
      <c r="L70" s="17"/>
      <c r="M70" s="17"/>
      <c r="N70" s="16"/>
      <c r="O70" s="16"/>
      <c r="P70" s="16"/>
      <c r="Q70" s="18"/>
      <c r="R70" s="18"/>
      <c r="S70" s="16"/>
      <c r="T70" s="16"/>
      <c r="U70" s="17"/>
    </row>
    <row r="71" spans="1:21" ht="16.05" customHeight="1" x14ac:dyDescent="0.3">
      <c r="A71" s="16"/>
      <c r="B71" s="16"/>
      <c r="C71" s="17"/>
      <c r="D71" s="17"/>
      <c r="E71" s="16"/>
      <c r="F71" s="16"/>
      <c r="G71" s="16"/>
      <c r="H71" s="16"/>
      <c r="I71" s="17"/>
      <c r="J71" s="17"/>
      <c r="K71" s="17"/>
      <c r="L71" s="17"/>
      <c r="M71" s="17"/>
      <c r="N71" s="16"/>
      <c r="O71" s="16"/>
      <c r="P71" s="16"/>
      <c r="Q71" s="18"/>
      <c r="R71" s="18"/>
      <c r="S71" s="16"/>
      <c r="T71" s="16"/>
      <c r="U71" s="17"/>
    </row>
    <row r="72" spans="1:21" ht="16.05" customHeight="1" x14ac:dyDescent="0.3">
      <c r="A72" s="16"/>
      <c r="B72" s="16"/>
      <c r="C72" s="17"/>
      <c r="D72" s="17"/>
      <c r="E72" s="16"/>
      <c r="F72" s="16"/>
      <c r="G72" s="16"/>
      <c r="H72" s="16"/>
      <c r="I72" s="17"/>
      <c r="J72" s="17"/>
      <c r="K72" s="17"/>
      <c r="L72" s="17"/>
      <c r="M72" s="17"/>
      <c r="N72" s="16"/>
      <c r="O72" s="16"/>
      <c r="P72" s="16"/>
      <c r="Q72" s="18"/>
      <c r="R72" s="18"/>
      <c r="S72" s="16"/>
      <c r="T72" s="16"/>
      <c r="U72" s="17"/>
    </row>
    <row r="73" spans="1:21" ht="16.05" customHeight="1" x14ac:dyDescent="0.3">
      <c r="A73" s="16"/>
      <c r="B73" s="16"/>
      <c r="C73" s="17"/>
      <c r="D73" s="17"/>
      <c r="E73" s="16"/>
      <c r="F73" s="16"/>
      <c r="G73" s="16"/>
      <c r="H73" s="16"/>
      <c r="I73" s="17"/>
      <c r="J73" s="17"/>
      <c r="K73" s="17"/>
      <c r="L73" s="17"/>
      <c r="M73" s="17"/>
      <c r="N73" s="16"/>
      <c r="O73" s="16"/>
      <c r="P73" s="16"/>
      <c r="Q73" s="18"/>
      <c r="R73" s="18"/>
      <c r="S73" s="16"/>
      <c r="T73" s="16"/>
      <c r="U73" s="17"/>
    </row>
    <row r="74" spans="1:21" ht="16.05" customHeight="1" x14ac:dyDescent="0.3">
      <c r="A74" s="16"/>
      <c r="B74" s="16"/>
      <c r="C74" s="17"/>
      <c r="D74" s="17"/>
      <c r="E74" s="16"/>
      <c r="F74" s="16"/>
      <c r="G74" s="16"/>
      <c r="H74" s="16"/>
      <c r="I74" s="17"/>
      <c r="J74" s="17"/>
      <c r="K74" s="17"/>
      <c r="L74" s="17"/>
      <c r="M74" s="17"/>
      <c r="N74" s="16"/>
      <c r="O74" s="16"/>
      <c r="P74" s="16"/>
      <c r="Q74" s="18"/>
      <c r="R74" s="18"/>
      <c r="S74" s="16"/>
      <c r="T74" s="16"/>
      <c r="U74" s="17"/>
    </row>
    <row r="75" spans="1:21" ht="16.05" customHeight="1" x14ac:dyDescent="0.3">
      <c r="A75" s="16"/>
      <c r="B75" s="16"/>
      <c r="C75" s="17"/>
      <c r="D75" s="17"/>
      <c r="E75" s="16"/>
      <c r="F75" s="16"/>
      <c r="G75" s="16"/>
      <c r="H75" s="16"/>
      <c r="I75" s="17"/>
      <c r="J75" s="17"/>
      <c r="K75" s="17"/>
      <c r="L75" s="17"/>
      <c r="M75" s="17"/>
      <c r="N75" s="16"/>
      <c r="O75" s="16"/>
      <c r="P75" s="16"/>
      <c r="Q75" s="18"/>
      <c r="R75" s="18"/>
      <c r="S75" s="16"/>
      <c r="T75" s="16"/>
      <c r="U75" s="17"/>
    </row>
    <row r="76" spans="1:21" ht="16.05" customHeight="1" x14ac:dyDescent="0.3">
      <c r="A76" s="16"/>
      <c r="B76" s="16"/>
      <c r="C76" s="17"/>
      <c r="D76" s="17"/>
      <c r="E76" s="16"/>
      <c r="F76" s="16"/>
      <c r="G76" s="16"/>
      <c r="H76" s="16"/>
      <c r="I76" s="17"/>
      <c r="J76" s="17"/>
      <c r="K76" s="17"/>
      <c r="L76" s="17"/>
      <c r="M76" s="17"/>
      <c r="N76" s="16"/>
      <c r="O76" s="16"/>
      <c r="P76" s="16"/>
      <c r="Q76" s="18"/>
      <c r="R76" s="18"/>
      <c r="S76" s="16"/>
      <c r="T76" s="16"/>
      <c r="U76" s="17"/>
    </row>
    <row r="77" spans="1:21" ht="16.05" customHeight="1" x14ac:dyDescent="0.3">
      <c r="A77" s="16"/>
      <c r="B77" s="16"/>
      <c r="C77" s="17"/>
      <c r="D77" s="17"/>
      <c r="E77" s="16"/>
      <c r="F77" s="16"/>
      <c r="G77" s="16"/>
      <c r="H77" s="16"/>
      <c r="I77" s="17"/>
      <c r="J77" s="17"/>
      <c r="K77" s="17"/>
      <c r="L77" s="17"/>
      <c r="M77" s="17"/>
      <c r="N77" s="16"/>
      <c r="O77" s="16"/>
      <c r="P77" s="16"/>
      <c r="Q77" s="18"/>
      <c r="R77" s="18"/>
      <c r="S77" s="16"/>
      <c r="T77" s="16"/>
      <c r="U77" s="17"/>
    </row>
    <row r="78" spans="1:21" ht="16.05" customHeight="1" x14ac:dyDescent="0.3">
      <c r="A78" s="16"/>
      <c r="B78" s="16"/>
      <c r="C78" s="17"/>
      <c r="D78" s="17"/>
      <c r="E78" s="16"/>
      <c r="F78" s="16"/>
      <c r="G78" s="16"/>
      <c r="H78" s="16"/>
      <c r="I78" s="17"/>
      <c r="J78" s="17"/>
      <c r="K78" s="17"/>
      <c r="L78" s="17"/>
      <c r="M78" s="17"/>
      <c r="N78" s="16"/>
      <c r="O78" s="16"/>
      <c r="P78" s="16"/>
      <c r="Q78" s="18"/>
      <c r="R78" s="18"/>
      <c r="S78" s="16"/>
      <c r="T78" s="16"/>
      <c r="U78" s="17"/>
    </row>
    <row r="79" spans="1:21" ht="16.05" customHeight="1" x14ac:dyDescent="0.3">
      <c r="A79" s="16"/>
      <c r="B79" s="16"/>
      <c r="C79" s="17"/>
      <c r="D79" s="17"/>
      <c r="E79" s="16"/>
      <c r="F79" s="16"/>
      <c r="G79" s="16"/>
      <c r="H79" s="16"/>
      <c r="I79" s="17"/>
      <c r="J79" s="17"/>
      <c r="K79" s="17"/>
      <c r="L79" s="17"/>
      <c r="M79" s="17"/>
      <c r="N79" s="16"/>
      <c r="O79" s="16"/>
      <c r="P79" s="16"/>
      <c r="Q79" s="18"/>
      <c r="R79" s="18"/>
      <c r="S79" s="16"/>
      <c r="T79" s="16"/>
      <c r="U79" s="17"/>
    </row>
    <row r="80" spans="1:21" ht="16.05" customHeight="1" x14ac:dyDescent="0.3">
      <c r="A80" s="16"/>
      <c r="B80" s="16"/>
      <c r="C80" s="17"/>
      <c r="D80" s="17"/>
      <c r="E80" s="16"/>
      <c r="F80" s="16"/>
      <c r="G80" s="16"/>
      <c r="H80" s="16"/>
      <c r="I80" s="17"/>
      <c r="J80" s="17"/>
      <c r="K80" s="17"/>
      <c r="L80" s="17"/>
      <c r="M80" s="17"/>
      <c r="N80" s="16"/>
      <c r="O80" s="16"/>
      <c r="P80" s="16"/>
      <c r="Q80" s="18"/>
      <c r="R80" s="18"/>
      <c r="S80" s="16"/>
      <c r="T80" s="16"/>
      <c r="U80" s="17"/>
    </row>
    <row r="81" spans="1:21" ht="16.05" customHeight="1" x14ac:dyDescent="0.3">
      <c r="A81" s="16"/>
      <c r="B81" s="16"/>
      <c r="C81" s="17"/>
      <c r="D81" s="17"/>
      <c r="E81" s="16"/>
      <c r="F81" s="16"/>
      <c r="G81" s="16"/>
      <c r="H81" s="16"/>
      <c r="I81" s="17"/>
      <c r="J81" s="17"/>
      <c r="K81" s="17"/>
      <c r="L81" s="17"/>
      <c r="M81" s="17"/>
      <c r="N81" s="16"/>
      <c r="O81" s="16"/>
      <c r="P81" s="16"/>
      <c r="Q81" s="18"/>
      <c r="R81" s="18"/>
      <c r="S81" s="16"/>
      <c r="T81" s="16"/>
      <c r="U81" s="17"/>
    </row>
    <row r="82" spans="1:21" ht="16.05" customHeight="1" x14ac:dyDescent="0.3">
      <c r="A82" s="16"/>
      <c r="B82" s="16"/>
      <c r="C82" s="17"/>
      <c r="D82" s="17"/>
      <c r="E82" s="16"/>
      <c r="F82" s="16"/>
      <c r="G82" s="16"/>
      <c r="H82" s="16"/>
      <c r="I82" s="17"/>
      <c r="J82" s="17"/>
      <c r="K82" s="17"/>
      <c r="L82" s="17"/>
      <c r="M82" s="17"/>
      <c r="N82" s="16"/>
      <c r="O82" s="16"/>
      <c r="P82" s="16"/>
      <c r="Q82" s="18"/>
      <c r="R82" s="18"/>
      <c r="S82" s="16"/>
      <c r="T82" s="16"/>
      <c r="U82" s="17"/>
    </row>
    <row r="83" spans="1:21" ht="16.05" customHeight="1" x14ac:dyDescent="0.3">
      <c r="A83" s="16"/>
      <c r="B83" s="16"/>
      <c r="C83" s="17"/>
      <c r="D83" s="17"/>
      <c r="E83" s="16"/>
      <c r="F83" s="16"/>
      <c r="G83" s="16"/>
      <c r="H83" s="16"/>
      <c r="I83" s="17"/>
      <c r="J83" s="17"/>
      <c r="K83" s="17"/>
      <c r="L83" s="17"/>
      <c r="M83" s="17"/>
      <c r="N83" s="16"/>
      <c r="O83" s="16"/>
      <c r="P83" s="16"/>
      <c r="Q83" s="18"/>
      <c r="R83" s="18"/>
      <c r="S83" s="16"/>
      <c r="T83" s="16"/>
      <c r="U83" s="17"/>
    </row>
    <row r="84" spans="1:21" ht="16.05" customHeight="1" x14ac:dyDescent="0.3">
      <c r="A84" s="16"/>
      <c r="B84" s="16"/>
      <c r="C84" s="17"/>
      <c r="D84" s="17"/>
      <c r="E84" s="16"/>
      <c r="F84" s="16"/>
      <c r="G84" s="16"/>
      <c r="H84" s="16"/>
      <c r="I84" s="17"/>
      <c r="J84" s="17"/>
      <c r="K84" s="17"/>
      <c r="L84" s="17"/>
      <c r="M84" s="17"/>
      <c r="N84" s="16"/>
      <c r="O84" s="16"/>
      <c r="P84" s="16"/>
      <c r="Q84" s="18"/>
      <c r="R84" s="18"/>
      <c r="S84" s="16"/>
      <c r="T84" s="16"/>
      <c r="U84" s="17"/>
    </row>
    <row r="85" spans="1:21" ht="16.05" customHeight="1" x14ac:dyDescent="0.3">
      <c r="A85" s="16"/>
      <c r="B85" s="16"/>
      <c r="C85" s="17"/>
      <c r="D85" s="17"/>
      <c r="E85" s="16"/>
      <c r="F85" s="16"/>
      <c r="G85" s="16"/>
      <c r="H85" s="16"/>
      <c r="I85" s="17"/>
      <c r="J85" s="17"/>
      <c r="K85" s="17"/>
      <c r="L85" s="17"/>
      <c r="M85" s="17"/>
      <c r="N85" s="16"/>
      <c r="O85" s="16"/>
      <c r="P85" s="16"/>
      <c r="Q85" s="18"/>
      <c r="R85" s="18"/>
      <c r="S85" s="16"/>
      <c r="T85" s="16"/>
      <c r="U85" s="17"/>
    </row>
    <row r="86" spans="1:21" ht="16.05" customHeight="1" x14ac:dyDescent="0.3">
      <c r="A86" s="16"/>
      <c r="B86" s="16"/>
      <c r="C86" s="17"/>
      <c r="D86" s="17"/>
      <c r="E86" s="16"/>
      <c r="F86" s="16"/>
      <c r="G86" s="16"/>
      <c r="H86" s="16"/>
      <c r="I86" s="17"/>
      <c r="J86" s="17"/>
      <c r="K86" s="17"/>
      <c r="L86" s="17"/>
      <c r="M86" s="17"/>
      <c r="N86" s="16"/>
      <c r="O86" s="16"/>
      <c r="P86" s="16"/>
      <c r="Q86" s="18"/>
      <c r="R86" s="18"/>
      <c r="S86" s="16"/>
      <c r="T86" s="16"/>
      <c r="U86" s="17"/>
    </row>
    <row r="87" spans="1:21" ht="16.05" customHeight="1" x14ac:dyDescent="0.3">
      <c r="A87" s="16"/>
      <c r="B87" s="16"/>
      <c r="C87" s="17"/>
      <c r="D87" s="17"/>
      <c r="E87" s="16"/>
      <c r="F87" s="16"/>
      <c r="G87" s="16"/>
      <c r="H87" s="16"/>
      <c r="I87" s="17"/>
      <c r="J87" s="17"/>
      <c r="K87" s="17"/>
      <c r="L87" s="17"/>
      <c r="M87" s="17"/>
      <c r="N87" s="16"/>
      <c r="O87" s="16"/>
      <c r="P87" s="16"/>
      <c r="Q87" s="18"/>
      <c r="R87" s="18"/>
      <c r="S87" s="16"/>
      <c r="T87" s="16"/>
      <c r="U87" s="17"/>
    </row>
    <row r="88" spans="1:21" ht="16.05" customHeight="1" x14ac:dyDescent="0.3">
      <c r="A88" s="16"/>
      <c r="B88" s="16"/>
      <c r="C88" s="17"/>
      <c r="D88" s="17"/>
      <c r="E88" s="16"/>
      <c r="F88" s="16"/>
      <c r="G88" s="16"/>
      <c r="H88" s="16"/>
      <c r="I88" s="17"/>
      <c r="J88" s="17"/>
      <c r="K88" s="17"/>
      <c r="L88" s="17"/>
      <c r="M88" s="17"/>
      <c r="N88" s="16"/>
      <c r="O88" s="16"/>
      <c r="P88" s="16"/>
      <c r="Q88" s="18"/>
      <c r="R88" s="18"/>
      <c r="S88" s="16"/>
      <c r="T88" s="16"/>
      <c r="U88" s="17"/>
    </row>
    <row r="89" spans="1:21" ht="16.05" customHeight="1" x14ac:dyDescent="0.3">
      <c r="A89" s="16"/>
      <c r="B89" s="16"/>
      <c r="C89" s="17"/>
      <c r="D89" s="17"/>
      <c r="E89" s="16"/>
      <c r="F89" s="16"/>
      <c r="G89" s="16"/>
      <c r="H89" s="16"/>
      <c r="I89" s="17"/>
      <c r="J89" s="17"/>
      <c r="K89" s="17"/>
      <c r="L89" s="17"/>
      <c r="M89" s="17"/>
      <c r="N89" s="16"/>
      <c r="O89" s="16"/>
      <c r="P89" s="16"/>
      <c r="Q89" s="18"/>
      <c r="R89" s="18"/>
      <c r="S89" s="16"/>
      <c r="T89" s="16"/>
      <c r="U89" s="17"/>
    </row>
    <row r="90" spans="1:21" ht="16.05" customHeight="1" x14ac:dyDescent="0.3">
      <c r="A90" s="16"/>
      <c r="B90" s="16"/>
      <c r="C90" s="17"/>
      <c r="D90" s="17"/>
      <c r="E90" s="16"/>
      <c r="F90" s="16"/>
      <c r="G90" s="16"/>
      <c r="H90" s="16"/>
      <c r="I90" s="17"/>
      <c r="J90" s="17"/>
      <c r="K90" s="17"/>
      <c r="L90" s="17"/>
      <c r="M90" s="17"/>
      <c r="N90" s="16"/>
      <c r="O90" s="16"/>
      <c r="P90" s="16"/>
      <c r="Q90" s="18"/>
      <c r="R90" s="18"/>
      <c r="S90" s="16"/>
      <c r="T90" s="16"/>
      <c r="U90" s="17"/>
    </row>
    <row r="91" spans="1:21" ht="16.05" customHeight="1" x14ac:dyDescent="0.3">
      <c r="A91" s="16"/>
      <c r="B91" s="16"/>
      <c r="C91" s="17"/>
      <c r="D91" s="17"/>
      <c r="E91" s="16"/>
      <c r="F91" s="16"/>
      <c r="G91" s="16"/>
      <c r="H91" s="16"/>
      <c r="I91" s="17"/>
      <c r="J91" s="17"/>
      <c r="K91" s="17"/>
      <c r="L91" s="17"/>
      <c r="M91" s="17"/>
      <c r="N91" s="16"/>
      <c r="O91" s="16"/>
      <c r="P91" s="16"/>
      <c r="Q91" s="18"/>
      <c r="R91" s="18"/>
      <c r="S91" s="16"/>
      <c r="T91" s="16"/>
      <c r="U91" s="17"/>
    </row>
    <row r="92" spans="1:21" ht="16.05" customHeight="1" x14ac:dyDescent="0.3">
      <c r="A92" s="16"/>
      <c r="B92" s="16"/>
      <c r="C92" s="17"/>
      <c r="D92" s="17"/>
      <c r="E92" s="16"/>
      <c r="F92" s="16"/>
      <c r="G92" s="16"/>
      <c r="H92" s="16"/>
      <c r="I92" s="17"/>
      <c r="J92" s="17"/>
      <c r="K92" s="17"/>
      <c r="L92" s="17"/>
      <c r="M92" s="17"/>
      <c r="N92" s="16"/>
      <c r="O92" s="16"/>
      <c r="P92" s="16"/>
      <c r="Q92" s="18"/>
      <c r="R92" s="18"/>
      <c r="S92" s="16"/>
      <c r="T92" s="16"/>
      <c r="U92" s="17"/>
    </row>
    <row r="93" spans="1:21" ht="16.05" customHeight="1" x14ac:dyDescent="0.3">
      <c r="A93" s="16"/>
      <c r="B93" s="16"/>
      <c r="C93" s="17"/>
      <c r="D93" s="17"/>
      <c r="E93" s="16"/>
      <c r="F93" s="16"/>
      <c r="G93" s="16"/>
      <c r="H93" s="16"/>
      <c r="I93" s="17"/>
      <c r="J93" s="17"/>
      <c r="K93" s="17"/>
      <c r="L93" s="17"/>
      <c r="M93" s="17"/>
      <c r="N93" s="16"/>
      <c r="O93" s="16"/>
      <c r="P93" s="16"/>
      <c r="Q93" s="18"/>
      <c r="R93" s="18"/>
      <c r="S93" s="16"/>
      <c r="T93" s="16"/>
      <c r="U93" s="17"/>
    </row>
    <row r="94" spans="1:21" ht="16.05" customHeight="1" x14ac:dyDescent="0.3">
      <c r="A94" s="16"/>
      <c r="B94" s="16"/>
      <c r="C94" s="17"/>
      <c r="D94" s="17"/>
      <c r="E94" s="16"/>
      <c r="F94" s="16"/>
      <c r="G94" s="16"/>
      <c r="H94" s="16"/>
      <c r="I94" s="17"/>
      <c r="J94" s="17"/>
      <c r="K94" s="17"/>
      <c r="L94" s="17"/>
      <c r="M94" s="17"/>
      <c r="N94" s="16"/>
      <c r="O94" s="16"/>
      <c r="P94" s="16"/>
      <c r="Q94" s="18"/>
      <c r="R94" s="18"/>
      <c r="S94" s="16"/>
      <c r="T94" s="16"/>
      <c r="U94" s="17"/>
    </row>
    <row r="95" spans="1:21" ht="16.05" customHeight="1" x14ac:dyDescent="0.3">
      <c r="A95" s="16"/>
      <c r="B95" s="16"/>
      <c r="C95" s="17"/>
      <c r="D95" s="17"/>
      <c r="E95" s="16"/>
      <c r="F95" s="16"/>
      <c r="G95" s="16"/>
      <c r="H95" s="16"/>
      <c r="I95" s="17"/>
      <c r="J95" s="17"/>
      <c r="K95" s="17"/>
      <c r="L95" s="17"/>
      <c r="M95" s="17"/>
      <c r="N95" s="16"/>
      <c r="O95" s="16"/>
      <c r="P95" s="16"/>
      <c r="Q95" s="18"/>
      <c r="R95" s="18"/>
      <c r="S95" s="16"/>
      <c r="T95" s="16"/>
      <c r="U95" s="17"/>
    </row>
    <row r="96" spans="1:21" ht="16.05" customHeight="1" x14ac:dyDescent="0.3">
      <c r="A96" s="16"/>
      <c r="B96" s="16"/>
      <c r="C96" s="17"/>
      <c r="D96" s="17"/>
      <c r="E96" s="16"/>
      <c r="F96" s="16"/>
      <c r="G96" s="16"/>
      <c r="H96" s="16"/>
      <c r="I96" s="17"/>
      <c r="J96" s="17"/>
      <c r="K96" s="17"/>
      <c r="L96" s="17"/>
      <c r="M96" s="17"/>
      <c r="N96" s="16"/>
      <c r="O96" s="16"/>
      <c r="P96" s="16"/>
      <c r="Q96" s="18"/>
      <c r="R96" s="18"/>
      <c r="S96" s="16"/>
      <c r="T96" s="16"/>
      <c r="U96" s="17"/>
    </row>
    <row r="97" spans="1:21" ht="16.05" customHeight="1" x14ac:dyDescent="0.3">
      <c r="A97" s="16"/>
      <c r="B97" s="16"/>
      <c r="C97" s="17"/>
      <c r="D97" s="17"/>
      <c r="E97" s="16"/>
      <c r="F97" s="16"/>
      <c r="G97" s="16"/>
      <c r="H97" s="16"/>
      <c r="I97" s="17"/>
      <c r="J97" s="17"/>
      <c r="K97" s="17"/>
      <c r="L97" s="17"/>
      <c r="M97" s="17"/>
      <c r="N97" s="16"/>
      <c r="O97" s="16"/>
      <c r="P97" s="16"/>
      <c r="Q97" s="18"/>
      <c r="R97" s="18"/>
      <c r="S97" s="16"/>
      <c r="T97" s="16"/>
      <c r="U97" s="17"/>
    </row>
    <row r="98" spans="1:21" ht="16.05" customHeight="1" x14ac:dyDescent="0.3">
      <c r="A98" s="16"/>
      <c r="B98" s="16"/>
      <c r="C98" s="17"/>
      <c r="D98" s="17"/>
      <c r="E98" s="16"/>
      <c r="F98" s="16"/>
      <c r="G98" s="16"/>
      <c r="H98" s="16"/>
      <c r="I98" s="17"/>
      <c r="J98" s="17"/>
      <c r="K98" s="17"/>
      <c r="L98" s="17"/>
      <c r="M98" s="17"/>
      <c r="N98" s="16"/>
      <c r="O98" s="16"/>
      <c r="P98" s="16"/>
      <c r="Q98" s="18"/>
      <c r="R98" s="18"/>
      <c r="S98" s="16"/>
      <c r="T98" s="16"/>
      <c r="U98" s="17"/>
    </row>
    <row r="99" spans="1:21" ht="16.05" customHeight="1" x14ac:dyDescent="0.3">
      <c r="A99" s="16"/>
      <c r="B99" s="16"/>
      <c r="C99" s="17"/>
      <c r="D99" s="17"/>
      <c r="E99" s="16"/>
      <c r="F99" s="16"/>
      <c r="G99" s="16"/>
      <c r="H99" s="16"/>
      <c r="I99" s="17"/>
      <c r="J99" s="17"/>
      <c r="K99" s="17"/>
      <c r="L99" s="17"/>
      <c r="M99" s="17"/>
      <c r="N99" s="16"/>
      <c r="O99" s="16"/>
      <c r="P99" s="16"/>
      <c r="Q99" s="18"/>
      <c r="R99" s="18"/>
      <c r="S99" s="16"/>
      <c r="T99" s="16"/>
      <c r="U99" s="17"/>
    </row>
    <row r="100" spans="1:21" ht="16.05" customHeight="1" x14ac:dyDescent="0.3">
      <c r="A100" s="16"/>
      <c r="B100" s="16"/>
      <c r="C100" s="17"/>
      <c r="D100" s="17"/>
      <c r="E100" s="16"/>
      <c r="F100" s="16"/>
      <c r="G100" s="16"/>
      <c r="H100" s="16"/>
      <c r="I100" s="17"/>
      <c r="J100" s="17"/>
      <c r="K100" s="17"/>
      <c r="L100" s="17"/>
      <c r="M100" s="17"/>
      <c r="N100" s="16"/>
      <c r="O100" s="16"/>
      <c r="P100" s="16"/>
      <c r="Q100" s="18"/>
      <c r="R100" s="18"/>
      <c r="S100" s="16"/>
      <c r="T100" s="16"/>
      <c r="U100" s="17"/>
    </row>
    <row r="101" spans="1:21" ht="16.05" customHeight="1" x14ac:dyDescent="0.3">
      <c r="A101" s="16"/>
      <c r="B101" s="16"/>
      <c r="C101" s="17"/>
      <c r="D101" s="17"/>
      <c r="E101" s="16"/>
      <c r="F101" s="16"/>
      <c r="G101" s="16"/>
      <c r="H101" s="16"/>
      <c r="I101" s="17"/>
      <c r="J101" s="17"/>
      <c r="K101" s="17"/>
      <c r="L101" s="17"/>
      <c r="M101" s="17"/>
      <c r="N101" s="16"/>
      <c r="O101" s="16"/>
      <c r="P101" s="16"/>
      <c r="Q101" s="18"/>
      <c r="R101" s="18"/>
      <c r="S101" s="16"/>
      <c r="T101" s="16"/>
      <c r="U101" s="17"/>
    </row>
    <row r="102" spans="1:21" ht="16.05" customHeight="1" x14ac:dyDescent="0.3">
      <c r="A102" s="16"/>
      <c r="B102" s="16"/>
      <c r="C102" s="17"/>
      <c r="D102" s="17"/>
      <c r="E102" s="16"/>
      <c r="F102" s="16"/>
      <c r="G102" s="16"/>
      <c r="H102" s="16"/>
      <c r="I102" s="17"/>
      <c r="J102" s="17"/>
      <c r="K102" s="17"/>
      <c r="L102" s="17"/>
      <c r="M102" s="17"/>
      <c r="N102" s="16"/>
      <c r="O102" s="16"/>
      <c r="P102" s="16"/>
      <c r="Q102" s="18"/>
      <c r="R102" s="18"/>
      <c r="S102" s="16"/>
      <c r="T102" s="16"/>
      <c r="U102" s="17"/>
    </row>
    <row r="103" spans="1:21" ht="16.05" customHeight="1" x14ac:dyDescent="0.3">
      <c r="A103" s="16"/>
      <c r="B103" s="16"/>
      <c r="C103" s="17"/>
      <c r="D103" s="17"/>
      <c r="E103" s="16"/>
      <c r="F103" s="16"/>
      <c r="G103" s="16"/>
      <c r="H103" s="16"/>
      <c r="I103" s="17"/>
      <c r="J103" s="17"/>
      <c r="K103" s="17"/>
      <c r="L103" s="17"/>
      <c r="M103" s="17"/>
      <c r="N103" s="16"/>
      <c r="O103" s="16"/>
      <c r="P103" s="16"/>
      <c r="Q103" s="18"/>
      <c r="R103" s="18"/>
      <c r="S103" s="16"/>
      <c r="T103" s="16"/>
      <c r="U103" s="17"/>
    </row>
    <row r="104" spans="1:21" ht="16.05" customHeight="1" x14ac:dyDescent="0.3">
      <c r="A104" s="16"/>
      <c r="B104" s="16"/>
      <c r="C104" s="17"/>
      <c r="D104" s="17"/>
      <c r="E104" s="16"/>
      <c r="F104" s="16"/>
      <c r="G104" s="16"/>
      <c r="H104" s="16"/>
      <c r="I104" s="17"/>
      <c r="J104" s="17"/>
      <c r="K104" s="17"/>
      <c r="L104" s="17"/>
      <c r="M104" s="17"/>
      <c r="N104" s="16"/>
      <c r="O104" s="16"/>
      <c r="P104" s="16"/>
      <c r="Q104" s="18"/>
      <c r="R104" s="18"/>
      <c r="S104" s="16"/>
      <c r="T104" s="16"/>
      <c r="U104" s="17"/>
    </row>
    <row r="105" spans="1:21" ht="16.05" customHeight="1" x14ac:dyDescent="0.3">
      <c r="A105" s="16"/>
      <c r="B105" s="16"/>
      <c r="C105" s="17"/>
      <c r="D105" s="17"/>
      <c r="E105" s="16"/>
      <c r="F105" s="16"/>
      <c r="G105" s="16"/>
      <c r="H105" s="16"/>
      <c r="I105" s="17"/>
      <c r="J105" s="17"/>
      <c r="K105" s="17"/>
      <c r="L105" s="17"/>
      <c r="M105" s="17"/>
      <c r="N105" s="16"/>
      <c r="O105" s="16"/>
      <c r="P105" s="16"/>
      <c r="Q105" s="18"/>
      <c r="R105" s="18"/>
      <c r="S105" s="16"/>
      <c r="T105" s="16"/>
      <c r="U105" s="17"/>
    </row>
    <row r="106" spans="1:21" ht="16.05" customHeight="1" x14ac:dyDescent="0.3">
      <c r="A106" s="16"/>
      <c r="B106" s="16"/>
      <c r="C106" s="17"/>
      <c r="D106" s="17"/>
      <c r="E106" s="16"/>
      <c r="F106" s="16"/>
      <c r="G106" s="16"/>
      <c r="H106" s="16"/>
      <c r="I106" s="17"/>
      <c r="J106" s="17"/>
      <c r="K106" s="17"/>
      <c r="L106" s="17"/>
      <c r="M106" s="17"/>
      <c r="N106" s="16"/>
      <c r="O106" s="16"/>
      <c r="P106" s="16"/>
      <c r="Q106" s="18"/>
      <c r="R106" s="18"/>
      <c r="S106" s="16"/>
      <c r="T106" s="16"/>
      <c r="U106" s="17"/>
    </row>
    <row r="107" spans="1:21" ht="16.05" customHeight="1" x14ac:dyDescent="0.3">
      <c r="A107" s="16"/>
      <c r="B107" s="16"/>
      <c r="C107" s="17"/>
      <c r="D107" s="17"/>
      <c r="E107" s="16"/>
      <c r="F107" s="16"/>
      <c r="G107" s="16"/>
      <c r="H107" s="16"/>
      <c r="I107" s="17"/>
      <c r="J107" s="17"/>
      <c r="K107" s="17"/>
      <c r="L107" s="17"/>
      <c r="M107" s="17"/>
      <c r="N107" s="16"/>
      <c r="O107" s="16"/>
      <c r="P107" s="16"/>
      <c r="Q107" s="18"/>
      <c r="R107" s="18"/>
      <c r="S107" s="16"/>
      <c r="T107" s="16"/>
      <c r="U107" s="17"/>
    </row>
    <row r="108" spans="1:21" ht="16.05" customHeight="1" x14ac:dyDescent="0.3">
      <c r="A108" s="16"/>
      <c r="B108" s="16"/>
      <c r="C108" s="17"/>
      <c r="D108" s="17"/>
      <c r="E108" s="16"/>
      <c r="F108" s="16"/>
      <c r="G108" s="16"/>
      <c r="H108" s="16"/>
      <c r="I108" s="17"/>
      <c r="J108" s="17"/>
      <c r="K108" s="17"/>
      <c r="L108" s="17"/>
      <c r="M108" s="17"/>
      <c r="N108" s="16"/>
      <c r="O108" s="16"/>
      <c r="P108" s="16"/>
      <c r="Q108" s="18"/>
      <c r="R108" s="18"/>
      <c r="S108" s="16"/>
      <c r="T108" s="16"/>
      <c r="U108" s="17"/>
    </row>
    <row r="109" spans="1:21" ht="16.05" customHeight="1" x14ac:dyDescent="0.3">
      <c r="A109" s="16"/>
      <c r="B109" s="16"/>
      <c r="C109" s="17"/>
      <c r="D109" s="17"/>
      <c r="E109" s="16"/>
      <c r="F109" s="16"/>
      <c r="G109" s="16"/>
      <c r="H109" s="16"/>
      <c r="I109" s="17"/>
      <c r="J109" s="17"/>
      <c r="K109" s="17"/>
      <c r="L109" s="17"/>
      <c r="M109" s="17"/>
      <c r="N109" s="16"/>
      <c r="O109" s="16"/>
      <c r="P109" s="16"/>
      <c r="Q109" s="18"/>
      <c r="R109" s="18"/>
      <c r="S109" s="16"/>
      <c r="T109" s="16"/>
      <c r="U109" s="17"/>
    </row>
    <row r="110" spans="1:21" ht="16.05" customHeight="1" x14ac:dyDescent="0.3">
      <c r="A110" s="16"/>
      <c r="B110" s="16"/>
      <c r="C110" s="17"/>
      <c r="D110" s="17"/>
      <c r="E110" s="16"/>
      <c r="F110" s="16"/>
      <c r="G110" s="16"/>
      <c r="H110" s="16"/>
      <c r="I110" s="17"/>
      <c r="J110" s="17"/>
      <c r="K110" s="17"/>
      <c r="L110" s="17"/>
      <c r="M110" s="17"/>
      <c r="N110" s="16"/>
      <c r="O110" s="16"/>
      <c r="P110" s="16"/>
      <c r="Q110" s="18"/>
      <c r="R110" s="18"/>
      <c r="S110" s="16"/>
      <c r="T110" s="16"/>
      <c r="U110" s="17"/>
    </row>
    <row r="111" spans="1:21" ht="16.05" customHeight="1" x14ac:dyDescent="0.3">
      <c r="A111" s="16"/>
      <c r="B111" s="16"/>
      <c r="C111" s="17"/>
      <c r="D111" s="17"/>
      <c r="E111" s="16"/>
      <c r="F111" s="16"/>
      <c r="G111" s="16"/>
      <c r="H111" s="16"/>
      <c r="I111" s="17"/>
      <c r="J111" s="17"/>
      <c r="K111" s="17"/>
      <c r="L111" s="17"/>
      <c r="M111" s="17"/>
      <c r="N111" s="16"/>
      <c r="O111" s="16"/>
      <c r="P111" s="16"/>
      <c r="Q111" s="18"/>
      <c r="R111" s="18"/>
      <c r="S111" s="16"/>
      <c r="T111" s="16"/>
      <c r="U111" s="17"/>
    </row>
    <row r="112" spans="1:21" ht="16.05" customHeight="1" x14ac:dyDescent="0.3">
      <c r="A112" s="16"/>
      <c r="B112" s="16"/>
      <c r="C112" s="17"/>
      <c r="D112" s="17"/>
      <c r="E112" s="16"/>
      <c r="F112" s="16"/>
      <c r="G112" s="16"/>
      <c r="H112" s="16"/>
      <c r="I112" s="17"/>
      <c r="J112" s="17"/>
      <c r="K112" s="17"/>
      <c r="L112" s="17"/>
      <c r="M112" s="17"/>
      <c r="N112" s="16"/>
      <c r="O112" s="16"/>
      <c r="P112" s="16"/>
      <c r="Q112" s="18"/>
      <c r="R112" s="18"/>
      <c r="S112" s="16"/>
      <c r="T112" s="16"/>
      <c r="U112" s="17"/>
    </row>
    <row r="113" spans="1:21" ht="16.05" customHeight="1" x14ac:dyDescent="0.3">
      <c r="A113" s="16"/>
      <c r="B113" s="16"/>
      <c r="C113" s="17"/>
      <c r="D113" s="17"/>
      <c r="E113" s="16"/>
      <c r="F113" s="16"/>
      <c r="G113" s="16"/>
      <c r="H113" s="16"/>
      <c r="I113" s="17"/>
      <c r="J113" s="17"/>
      <c r="K113" s="17"/>
      <c r="L113" s="17"/>
      <c r="M113" s="17"/>
      <c r="N113" s="16"/>
      <c r="O113" s="16"/>
      <c r="P113" s="16"/>
      <c r="Q113" s="18"/>
      <c r="R113" s="18"/>
      <c r="S113" s="16"/>
      <c r="T113" s="16"/>
      <c r="U113" s="17"/>
    </row>
    <row r="114" spans="1:21" ht="16.05" customHeight="1" x14ac:dyDescent="0.3">
      <c r="A114" s="16"/>
      <c r="B114" s="16"/>
      <c r="C114" s="17"/>
      <c r="D114" s="17"/>
      <c r="E114" s="16"/>
      <c r="F114" s="16"/>
      <c r="G114" s="16"/>
      <c r="H114" s="16"/>
      <c r="I114" s="17"/>
      <c r="J114" s="17"/>
      <c r="K114" s="17"/>
      <c r="L114" s="17"/>
      <c r="M114" s="17"/>
      <c r="N114" s="16"/>
      <c r="O114" s="16"/>
      <c r="P114" s="16"/>
      <c r="Q114" s="18"/>
      <c r="R114" s="18"/>
      <c r="S114" s="16"/>
      <c r="T114" s="16"/>
      <c r="U114" s="17"/>
    </row>
    <row r="115" spans="1:21" ht="16.05" customHeight="1" x14ac:dyDescent="0.3">
      <c r="A115" s="16"/>
      <c r="B115" s="16"/>
      <c r="C115" s="17"/>
      <c r="D115" s="17"/>
      <c r="E115" s="16"/>
      <c r="F115" s="16"/>
      <c r="G115" s="16"/>
      <c r="H115" s="16"/>
      <c r="I115" s="17"/>
      <c r="J115" s="17"/>
      <c r="K115" s="17"/>
      <c r="L115" s="17"/>
      <c r="M115" s="17"/>
      <c r="N115" s="16"/>
      <c r="O115" s="16"/>
      <c r="P115" s="16"/>
      <c r="Q115" s="18"/>
      <c r="R115" s="18"/>
      <c r="S115" s="16"/>
      <c r="T115" s="16"/>
      <c r="U115" s="17"/>
    </row>
    <row r="116" spans="1:21" ht="16.05" customHeight="1" x14ac:dyDescent="0.3">
      <c r="A116" s="16"/>
      <c r="B116" s="16"/>
      <c r="C116" s="17"/>
      <c r="D116" s="17"/>
      <c r="E116" s="16"/>
      <c r="F116" s="16"/>
      <c r="G116" s="16"/>
      <c r="H116" s="16"/>
      <c r="I116" s="17"/>
      <c r="J116" s="17"/>
      <c r="K116" s="17"/>
      <c r="L116" s="17"/>
      <c r="M116" s="17"/>
      <c r="N116" s="16"/>
      <c r="O116" s="16"/>
      <c r="P116" s="16"/>
      <c r="Q116" s="18"/>
      <c r="R116" s="18"/>
      <c r="S116" s="16"/>
      <c r="T116" s="16"/>
      <c r="U116" s="17"/>
    </row>
    <row r="117" spans="1:21" ht="16.05" customHeight="1" x14ac:dyDescent="0.3">
      <c r="A117" s="16"/>
      <c r="B117" s="16"/>
      <c r="C117" s="17"/>
      <c r="D117" s="17"/>
      <c r="E117" s="16"/>
      <c r="F117" s="16"/>
      <c r="G117" s="16"/>
      <c r="H117" s="16"/>
      <c r="I117" s="17"/>
      <c r="J117" s="17"/>
      <c r="K117" s="17"/>
      <c r="L117" s="17"/>
      <c r="M117" s="17"/>
      <c r="N117" s="16"/>
      <c r="O117" s="16"/>
      <c r="P117" s="16"/>
      <c r="Q117" s="18"/>
      <c r="R117" s="18"/>
      <c r="S117" s="16"/>
      <c r="T117" s="16"/>
      <c r="U117" s="17"/>
    </row>
    <row r="118" spans="1:21" ht="16.05" customHeight="1" x14ac:dyDescent="0.3">
      <c r="A118" s="16"/>
      <c r="B118" s="16"/>
      <c r="C118" s="17"/>
      <c r="D118" s="17"/>
      <c r="E118" s="16"/>
      <c r="F118" s="16"/>
      <c r="G118" s="16"/>
      <c r="H118" s="16"/>
      <c r="I118" s="17"/>
      <c r="J118" s="17"/>
      <c r="K118" s="17"/>
      <c r="L118" s="17"/>
      <c r="M118" s="17"/>
      <c r="N118" s="16"/>
      <c r="O118" s="16"/>
      <c r="P118" s="16"/>
      <c r="Q118" s="18"/>
      <c r="R118" s="18"/>
      <c r="S118" s="16"/>
      <c r="T118" s="16"/>
      <c r="U118" s="17"/>
    </row>
    <row r="119" spans="1:21" ht="16.05" customHeight="1" x14ac:dyDescent="0.3">
      <c r="A119" s="16"/>
      <c r="B119" s="16"/>
      <c r="C119" s="17"/>
      <c r="D119" s="17"/>
      <c r="E119" s="16"/>
      <c r="F119" s="16"/>
      <c r="G119" s="16"/>
      <c r="H119" s="16"/>
      <c r="I119" s="17"/>
      <c r="J119" s="17"/>
      <c r="K119" s="17"/>
      <c r="L119" s="17"/>
      <c r="M119" s="17"/>
      <c r="N119" s="16"/>
      <c r="O119" s="16"/>
      <c r="P119" s="16"/>
      <c r="Q119" s="18"/>
      <c r="R119" s="18"/>
      <c r="S119" s="16"/>
      <c r="T119" s="16"/>
      <c r="U119" s="17"/>
    </row>
    <row r="120" spans="1:21" ht="16.05" customHeight="1" x14ac:dyDescent="0.3">
      <c r="A120" s="16"/>
      <c r="B120" s="16"/>
      <c r="C120" s="17"/>
      <c r="D120" s="17"/>
      <c r="E120" s="16"/>
      <c r="F120" s="16"/>
      <c r="G120" s="16"/>
      <c r="H120" s="16"/>
      <c r="I120" s="17"/>
      <c r="J120" s="17"/>
      <c r="K120" s="17"/>
      <c r="L120" s="17"/>
      <c r="M120" s="17"/>
      <c r="N120" s="16"/>
      <c r="O120" s="16"/>
      <c r="P120" s="16"/>
      <c r="Q120" s="18"/>
      <c r="R120" s="18"/>
      <c r="S120" s="16"/>
      <c r="T120" s="16"/>
      <c r="U120" s="17"/>
    </row>
    <row r="121" spans="1:21" ht="16.05" customHeight="1" x14ac:dyDescent="0.3">
      <c r="A121" s="16"/>
      <c r="B121" s="16"/>
      <c r="C121" s="17"/>
      <c r="D121" s="17"/>
      <c r="E121" s="16"/>
      <c r="F121" s="16"/>
      <c r="G121" s="16"/>
      <c r="H121" s="16"/>
      <c r="I121" s="17"/>
      <c r="J121" s="17"/>
      <c r="K121" s="17"/>
      <c r="L121" s="17"/>
      <c r="M121" s="17"/>
      <c r="N121" s="16"/>
      <c r="O121" s="16"/>
      <c r="P121" s="16"/>
      <c r="Q121" s="18"/>
      <c r="R121" s="18"/>
      <c r="S121" s="16"/>
      <c r="T121" s="16"/>
      <c r="U121" s="17"/>
    </row>
    <row r="122" spans="1:21" ht="16.05" customHeight="1" x14ac:dyDescent="0.3">
      <c r="A122" s="16"/>
      <c r="B122" s="16"/>
      <c r="C122" s="17"/>
      <c r="D122" s="17"/>
      <c r="E122" s="16"/>
      <c r="F122" s="16"/>
      <c r="G122" s="16"/>
      <c r="H122" s="16"/>
      <c r="I122" s="17"/>
      <c r="J122" s="17"/>
      <c r="K122" s="17"/>
      <c r="L122" s="17"/>
      <c r="M122" s="17"/>
      <c r="N122" s="16"/>
      <c r="O122" s="16"/>
      <c r="P122" s="16"/>
      <c r="Q122" s="18"/>
      <c r="R122" s="18"/>
      <c r="S122" s="16"/>
      <c r="T122" s="16"/>
      <c r="U122" s="17"/>
    </row>
    <row r="123" spans="1:21" ht="16.05" customHeight="1" x14ac:dyDescent="0.3">
      <c r="A123" s="16"/>
      <c r="B123" s="16"/>
      <c r="C123" s="17"/>
      <c r="D123" s="17"/>
      <c r="E123" s="16"/>
      <c r="F123" s="16"/>
      <c r="G123" s="16"/>
      <c r="H123" s="16"/>
      <c r="I123" s="17"/>
      <c r="J123" s="17"/>
      <c r="K123" s="17"/>
      <c r="L123" s="17"/>
      <c r="M123" s="17"/>
      <c r="N123" s="16"/>
      <c r="O123" s="16"/>
      <c r="P123" s="16"/>
      <c r="Q123" s="18"/>
      <c r="R123" s="18"/>
      <c r="S123" s="16"/>
      <c r="T123" s="16"/>
      <c r="U123" s="17"/>
    </row>
    <row r="124" spans="1:21" ht="16.05" customHeight="1" x14ac:dyDescent="0.3">
      <c r="A124" s="16"/>
      <c r="B124" s="16"/>
      <c r="C124" s="17"/>
      <c r="D124" s="17"/>
      <c r="E124" s="16"/>
      <c r="F124" s="16"/>
      <c r="G124" s="16"/>
      <c r="H124" s="16"/>
      <c r="I124" s="17"/>
      <c r="J124" s="17"/>
      <c r="K124" s="17"/>
      <c r="L124" s="17"/>
      <c r="M124" s="17"/>
      <c r="N124" s="16"/>
      <c r="O124" s="16"/>
      <c r="P124" s="16"/>
      <c r="Q124" s="18"/>
      <c r="R124" s="18"/>
      <c r="S124" s="16"/>
      <c r="T124" s="16"/>
      <c r="U124" s="17"/>
    </row>
    <row r="125" spans="1:21" ht="16.05" customHeight="1" x14ac:dyDescent="0.3">
      <c r="A125" s="16"/>
      <c r="B125" s="16"/>
      <c r="C125" s="17"/>
      <c r="D125" s="17"/>
      <c r="E125" s="16"/>
      <c r="F125" s="16"/>
      <c r="G125" s="16"/>
      <c r="H125" s="16"/>
      <c r="I125" s="17"/>
      <c r="J125" s="17"/>
      <c r="K125" s="17"/>
      <c r="L125" s="17"/>
      <c r="M125" s="17"/>
      <c r="N125" s="16"/>
      <c r="O125" s="16"/>
      <c r="P125" s="16"/>
      <c r="Q125" s="18"/>
      <c r="R125" s="18"/>
      <c r="S125" s="16"/>
      <c r="T125" s="16"/>
      <c r="U125" s="17"/>
    </row>
    <row r="126" spans="1:21" ht="16.05" customHeight="1" x14ac:dyDescent="0.3">
      <c r="A126" s="16"/>
      <c r="B126" s="16"/>
      <c r="C126" s="17"/>
      <c r="D126" s="17"/>
      <c r="E126" s="16"/>
      <c r="F126" s="16"/>
      <c r="G126" s="16"/>
      <c r="H126" s="16"/>
      <c r="I126" s="17"/>
      <c r="J126" s="17"/>
      <c r="K126" s="17"/>
      <c r="L126" s="17"/>
      <c r="M126" s="17"/>
      <c r="N126" s="16"/>
      <c r="O126" s="16"/>
      <c r="P126" s="16"/>
      <c r="Q126" s="18"/>
      <c r="R126" s="18"/>
      <c r="S126" s="16"/>
      <c r="T126" s="16"/>
      <c r="U126" s="17"/>
    </row>
    <row r="127" spans="1:21" ht="16.05" customHeight="1" x14ac:dyDescent="0.3">
      <c r="A127" s="16"/>
      <c r="B127" s="16"/>
      <c r="C127" s="17"/>
      <c r="D127" s="17"/>
      <c r="E127" s="16"/>
      <c r="F127" s="16"/>
      <c r="G127" s="16"/>
      <c r="H127" s="16"/>
      <c r="I127" s="17"/>
      <c r="J127" s="17"/>
      <c r="K127" s="17"/>
      <c r="L127" s="17"/>
      <c r="M127" s="17"/>
      <c r="N127" s="16"/>
      <c r="O127" s="16"/>
      <c r="P127" s="16"/>
      <c r="Q127" s="18"/>
      <c r="R127" s="18"/>
      <c r="S127" s="16"/>
      <c r="T127" s="16"/>
      <c r="U127" s="17"/>
    </row>
    <row r="128" spans="1:21" ht="16.05" customHeight="1" x14ac:dyDescent="0.3">
      <c r="A128" s="16"/>
      <c r="B128" s="16"/>
      <c r="C128" s="17"/>
      <c r="D128" s="17"/>
      <c r="E128" s="16"/>
      <c r="F128" s="16"/>
      <c r="G128" s="16"/>
      <c r="H128" s="16"/>
      <c r="I128" s="17"/>
      <c r="J128" s="17"/>
      <c r="K128" s="17"/>
      <c r="L128" s="17"/>
      <c r="M128" s="17"/>
      <c r="N128" s="16"/>
      <c r="O128" s="16"/>
      <c r="P128" s="16"/>
      <c r="Q128" s="18"/>
      <c r="R128" s="18"/>
      <c r="S128" s="16"/>
      <c r="T128" s="16"/>
      <c r="U128" s="17"/>
    </row>
    <row r="129" spans="1:21" ht="16.05" customHeight="1" x14ac:dyDescent="0.3">
      <c r="A129" s="16"/>
      <c r="B129" s="16"/>
      <c r="C129" s="17"/>
      <c r="D129" s="17"/>
      <c r="E129" s="16"/>
      <c r="F129" s="16"/>
      <c r="G129" s="16"/>
      <c r="H129" s="16"/>
      <c r="I129" s="17"/>
      <c r="J129" s="17"/>
      <c r="K129" s="17"/>
      <c r="L129" s="17"/>
      <c r="M129" s="17"/>
      <c r="N129" s="16"/>
      <c r="O129" s="16"/>
      <c r="P129" s="16"/>
      <c r="Q129" s="18"/>
      <c r="R129" s="18"/>
      <c r="S129" s="16"/>
      <c r="T129" s="16"/>
      <c r="U129" s="17"/>
    </row>
    <row r="130" spans="1:21" ht="16.05" customHeight="1" x14ac:dyDescent="0.3">
      <c r="A130" s="16"/>
      <c r="B130" s="16"/>
      <c r="C130" s="17"/>
      <c r="D130" s="17"/>
      <c r="E130" s="16"/>
      <c r="F130" s="16"/>
      <c r="G130" s="16"/>
      <c r="H130" s="16"/>
      <c r="I130" s="17"/>
      <c r="J130" s="17"/>
      <c r="K130" s="17"/>
      <c r="L130" s="17"/>
      <c r="M130" s="17"/>
      <c r="N130" s="16"/>
      <c r="O130" s="16"/>
      <c r="P130" s="16"/>
      <c r="Q130" s="18"/>
      <c r="R130" s="18"/>
      <c r="S130" s="16"/>
      <c r="T130" s="16"/>
      <c r="U130" s="17"/>
    </row>
    <row r="131" spans="1:21" ht="16.05" customHeight="1" x14ac:dyDescent="0.3">
      <c r="A131" s="16"/>
      <c r="B131" s="16"/>
      <c r="C131" s="17"/>
      <c r="D131" s="17"/>
      <c r="E131" s="16"/>
      <c r="F131" s="16"/>
      <c r="G131" s="16"/>
      <c r="H131" s="16"/>
      <c r="I131" s="17"/>
      <c r="J131" s="17"/>
      <c r="K131" s="17"/>
      <c r="L131" s="17"/>
      <c r="M131" s="17"/>
      <c r="N131" s="16"/>
      <c r="O131" s="16"/>
      <c r="P131" s="16"/>
      <c r="Q131" s="18"/>
      <c r="R131" s="18"/>
      <c r="S131" s="16"/>
      <c r="T131" s="16"/>
      <c r="U131" s="17"/>
    </row>
    <row r="132" spans="1:21" ht="16.05" customHeight="1" x14ac:dyDescent="0.3">
      <c r="A132" s="16"/>
      <c r="B132" s="16"/>
      <c r="C132" s="17"/>
      <c r="D132" s="17"/>
      <c r="E132" s="16"/>
      <c r="F132" s="16"/>
      <c r="G132" s="16"/>
      <c r="H132" s="16"/>
      <c r="I132" s="17"/>
      <c r="J132" s="17"/>
      <c r="K132" s="17"/>
      <c r="L132" s="17"/>
      <c r="M132" s="17"/>
      <c r="N132" s="16"/>
      <c r="O132" s="16"/>
      <c r="P132" s="16"/>
      <c r="Q132" s="18"/>
      <c r="R132" s="18"/>
      <c r="S132" s="16"/>
      <c r="T132" s="16"/>
      <c r="U132" s="17"/>
    </row>
    <row r="133" spans="1:21" ht="16.05" customHeight="1" x14ac:dyDescent="0.3">
      <c r="A133" s="16"/>
      <c r="B133" s="16"/>
      <c r="C133" s="17"/>
      <c r="D133" s="17"/>
      <c r="E133" s="16"/>
      <c r="F133" s="16"/>
      <c r="G133" s="16"/>
      <c r="H133" s="16"/>
      <c r="I133" s="17"/>
      <c r="J133" s="17"/>
      <c r="K133" s="17"/>
      <c r="L133" s="17"/>
      <c r="M133" s="17"/>
      <c r="N133" s="16"/>
      <c r="O133" s="16"/>
      <c r="P133" s="16"/>
      <c r="Q133" s="18"/>
      <c r="R133" s="18"/>
      <c r="S133" s="16"/>
      <c r="T133" s="16"/>
      <c r="U133" s="17"/>
    </row>
    <row r="134" spans="1:21" ht="16.05" customHeight="1" x14ac:dyDescent="0.3">
      <c r="A134" s="16"/>
      <c r="B134" s="16"/>
      <c r="C134" s="17"/>
      <c r="D134" s="17"/>
      <c r="E134" s="16"/>
      <c r="F134" s="16"/>
      <c r="G134" s="16"/>
      <c r="H134" s="16"/>
      <c r="I134" s="17"/>
      <c r="J134" s="17"/>
      <c r="K134" s="17"/>
      <c r="L134" s="17"/>
      <c r="M134" s="17"/>
      <c r="N134" s="16"/>
      <c r="O134" s="16"/>
      <c r="P134" s="16"/>
      <c r="Q134" s="18"/>
      <c r="R134" s="18"/>
      <c r="S134" s="16"/>
      <c r="T134" s="16"/>
      <c r="U134" s="17"/>
    </row>
    <row r="135" spans="1:21" ht="16.05" customHeight="1" x14ac:dyDescent="0.3">
      <c r="A135" s="16"/>
      <c r="B135" s="16"/>
      <c r="C135" s="17"/>
      <c r="D135" s="17"/>
      <c r="E135" s="16"/>
      <c r="F135" s="16"/>
      <c r="G135" s="16"/>
      <c r="H135" s="16"/>
      <c r="I135" s="17"/>
      <c r="J135" s="17"/>
      <c r="K135" s="17"/>
      <c r="L135" s="17"/>
      <c r="M135" s="17"/>
      <c r="N135" s="16"/>
      <c r="O135" s="16"/>
      <c r="P135" s="16"/>
      <c r="Q135" s="18"/>
      <c r="R135" s="18"/>
      <c r="S135" s="16"/>
      <c r="T135" s="16"/>
      <c r="U135" s="17"/>
    </row>
    <row r="136" spans="1:21" ht="16.05" customHeight="1" x14ac:dyDescent="0.3">
      <c r="A136" s="16"/>
      <c r="B136" s="16"/>
      <c r="C136" s="17"/>
      <c r="D136" s="17"/>
      <c r="E136" s="16"/>
      <c r="F136" s="16"/>
      <c r="G136" s="16"/>
      <c r="H136" s="16"/>
      <c r="I136" s="17"/>
      <c r="J136" s="17"/>
      <c r="K136" s="17"/>
      <c r="L136" s="17"/>
      <c r="M136" s="17"/>
      <c r="N136" s="16"/>
      <c r="O136" s="16"/>
      <c r="P136" s="16"/>
      <c r="Q136" s="18"/>
      <c r="R136" s="18"/>
      <c r="S136" s="16"/>
      <c r="T136" s="16"/>
      <c r="U136" s="17"/>
    </row>
    <row r="137" spans="1:21" ht="16.05" customHeight="1" x14ac:dyDescent="0.3">
      <c r="A137" s="16"/>
      <c r="B137" s="16"/>
      <c r="C137" s="17"/>
      <c r="D137" s="17"/>
      <c r="E137" s="16"/>
      <c r="F137" s="16"/>
      <c r="G137" s="16"/>
      <c r="H137" s="16"/>
      <c r="I137" s="17"/>
      <c r="J137" s="17"/>
      <c r="K137" s="17"/>
      <c r="L137" s="17"/>
      <c r="M137" s="17"/>
      <c r="N137" s="16"/>
      <c r="O137" s="16"/>
      <c r="P137" s="16"/>
      <c r="Q137" s="18"/>
      <c r="R137" s="18"/>
      <c r="S137" s="16"/>
      <c r="T137" s="16"/>
      <c r="U137" s="17"/>
    </row>
    <row r="138" spans="1:21" ht="16.05" customHeight="1" x14ac:dyDescent="0.3">
      <c r="A138" s="16"/>
      <c r="B138" s="16"/>
      <c r="C138" s="17"/>
      <c r="D138" s="17"/>
      <c r="E138" s="16"/>
      <c r="F138" s="16"/>
      <c r="G138" s="16"/>
      <c r="H138" s="16"/>
      <c r="I138" s="17"/>
      <c r="J138" s="17"/>
      <c r="K138" s="17"/>
      <c r="L138" s="17"/>
      <c r="M138" s="17"/>
      <c r="N138" s="16"/>
      <c r="O138" s="16"/>
      <c r="P138" s="16"/>
      <c r="Q138" s="18"/>
      <c r="R138" s="18"/>
      <c r="S138" s="16"/>
      <c r="T138" s="16"/>
      <c r="U138" s="17"/>
    </row>
    <row r="139" spans="1:21" ht="16.05" customHeight="1" x14ac:dyDescent="0.3">
      <c r="A139" s="16"/>
      <c r="B139" s="16"/>
      <c r="C139" s="17"/>
      <c r="D139" s="17"/>
      <c r="E139" s="16"/>
      <c r="F139" s="16"/>
      <c r="G139" s="16"/>
      <c r="H139" s="16"/>
      <c r="I139" s="17"/>
      <c r="J139" s="17"/>
      <c r="K139" s="17"/>
      <c r="L139" s="17"/>
      <c r="M139" s="17"/>
      <c r="N139" s="16"/>
      <c r="O139" s="16"/>
      <c r="P139" s="16"/>
      <c r="Q139" s="18"/>
      <c r="R139" s="18"/>
      <c r="S139" s="16"/>
      <c r="T139" s="16"/>
      <c r="U139" s="17"/>
    </row>
    <row r="140" spans="1:21" ht="16.05" customHeight="1" x14ac:dyDescent="0.3">
      <c r="A140" s="16"/>
      <c r="B140" s="16"/>
      <c r="C140" s="17"/>
      <c r="D140" s="17"/>
      <c r="E140" s="16"/>
      <c r="F140" s="16"/>
      <c r="G140" s="16"/>
      <c r="H140" s="16"/>
      <c r="I140" s="17"/>
      <c r="J140" s="17"/>
      <c r="K140" s="17"/>
      <c r="L140" s="17"/>
      <c r="M140" s="17"/>
      <c r="N140" s="16"/>
      <c r="O140" s="16"/>
      <c r="P140" s="16"/>
      <c r="Q140" s="18"/>
      <c r="R140" s="18"/>
      <c r="S140" s="16"/>
      <c r="T140" s="16"/>
      <c r="U140" s="17"/>
    </row>
    <row r="141" spans="1:21" ht="16.05" customHeight="1" x14ac:dyDescent="0.3">
      <c r="A141" s="16"/>
      <c r="B141" s="16"/>
      <c r="C141" s="17"/>
      <c r="D141" s="17"/>
      <c r="E141" s="16"/>
      <c r="F141" s="16"/>
      <c r="G141" s="16"/>
      <c r="H141" s="16"/>
      <c r="I141" s="17"/>
      <c r="J141" s="17"/>
      <c r="K141" s="17"/>
      <c r="L141" s="17"/>
      <c r="M141" s="17"/>
      <c r="N141" s="16"/>
      <c r="O141" s="16"/>
      <c r="P141" s="16"/>
      <c r="Q141" s="18"/>
      <c r="R141" s="18"/>
      <c r="S141" s="16"/>
      <c r="T141" s="16"/>
      <c r="U141" s="17"/>
    </row>
    <row r="142" spans="1:21" ht="16.05" customHeight="1" x14ac:dyDescent="0.3">
      <c r="A142" s="16"/>
      <c r="B142" s="16"/>
      <c r="C142" s="17"/>
      <c r="D142" s="17"/>
      <c r="E142" s="16"/>
      <c r="F142" s="16"/>
      <c r="G142" s="16"/>
      <c r="H142" s="16"/>
      <c r="I142" s="17"/>
      <c r="J142" s="17"/>
      <c r="K142" s="17"/>
      <c r="L142" s="17"/>
      <c r="M142" s="17"/>
      <c r="N142" s="16"/>
      <c r="O142" s="16"/>
      <c r="P142" s="16"/>
      <c r="Q142" s="18"/>
      <c r="R142" s="18"/>
      <c r="S142" s="16"/>
      <c r="T142" s="16"/>
      <c r="U142" s="17"/>
    </row>
    <row r="143" spans="1:21" ht="16.05" customHeight="1" x14ac:dyDescent="0.3">
      <c r="A143" s="16"/>
      <c r="B143" s="16"/>
      <c r="C143" s="17"/>
      <c r="D143" s="17"/>
      <c r="E143" s="16"/>
      <c r="F143" s="16"/>
      <c r="G143" s="16"/>
      <c r="H143" s="16"/>
      <c r="I143" s="17"/>
      <c r="J143" s="17"/>
      <c r="K143" s="17"/>
      <c r="L143" s="17"/>
      <c r="M143" s="17"/>
      <c r="N143" s="16"/>
      <c r="O143" s="16"/>
      <c r="P143" s="16"/>
      <c r="Q143" s="18"/>
      <c r="R143" s="18"/>
      <c r="S143" s="16"/>
      <c r="T143" s="16"/>
      <c r="U143" s="17"/>
    </row>
    <row r="144" spans="1:21" ht="16.05" customHeight="1" x14ac:dyDescent="0.3">
      <c r="A144" s="16"/>
      <c r="B144" s="16"/>
      <c r="C144" s="17"/>
      <c r="D144" s="17"/>
      <c r="E144" s="16"/>
      <c r="F144" s="16"/>
      <c r="G144" s="16"/>
      <c r="H144" s="16"/>
      <c r="I144" s="17"/>
      <c r="J144" s="17"/>
      <c r="K144" s="17"/>
      <c r="L144" s="17"/>
      <c r="M144" s="17"/>
      <c r="N144" s="16"/>
      <c r="O144" s="16"/>
      <c r="P144" s="16"/>
      <c r="Q144" s="18"/>
      <c r="R144" s="18"/>
      <c r="S144" s="16"/>
      <c r="T144" s="16"/>
      <c r="U144" s="17"/>
    </row>
    <row r="145" spans="1:21" ht="16.05" customHeight="1" x14ac:dyDescent="0.3">
      <c r="A145" s="16"/>
      <c r="B145" s="16"/>
      <c r="C145" s="17"/>
      <c r="D145" s="17"/>
      <c r="E145" s="16"/>
      <c r="F145" s="16"/>
      <c r="G145" s="16"/>
      <c r="H145" s="16"/>
      <c r="I145" s="17"/>
      <c r="J145" s="17"/>
      <c r="K145" s="17"/>
      <c r="L145" s="17"/>
      <c r="M145" s="17"/>
      <c r="N145" s="16"/>
      <c r="O145" s="16"/>
      <c r="P145" s="16"/>
      <c r="Q145" s="18"/>
      <c r="R145" s="18"/>
      <c r="S145" s="16"/>
      <c r="T145" s="16"/>
      <c r="U145" s="17"/>
    </row>
    <row r="146" spans="1:21" ht="16.05" customHeight="1" x14ac:dyDescent="0.3">
      <c r="A146" s="16"/>
      <c r="B146" s="16"/>
      <c r="C146" s="17"/>
      <c r="D146" s="17"/>
      <c r="E146" s="16"/>
      <c r="F146" s="16"/>
      <c r="G146" s="16"/>
      <c r="H146" s="16"/>
      <c r="I146" s="17"/>
      <c r="J146" s="17"/>
      <c r="K146" s="17"/>
      <c r="L146" s="17"/>
      <c r="M146" s="17"/>
      <c r="N146" s="16"/>
      <c r="O146" s="16"/>
      <c r="P146" s="16"/>
      <c r="Q146" s="18"/>
      <c r="R146" s="18"/>
      <c r="S146" s="16"/>
      <c r="T146" s="16"/>
      <c r="U146" s="17"/>
    </row>
    <row r="147" spans="1:21" ht="16.05" customHeight="1" x14ac:dyDescent="0.3">
      <c r="A147" s="16"/>
      <c r="B147" s="16"/>
      <c r="C147" s="17"/>
      <c r="D147" s="17"/>
      <c r="E147" s="16"/>
      <c r="F147" s="16"/>
      <c r="G147" s="16"/>
      <c r="H147" s="16"/>
      <c r="I147" s="17"/>
      <c r="J147" s="17"/>
      <c r="K147" s="17"/>
      <c r="L147" s="17"/>
      <c r="M147" s="17"/>
      <c r="N147" s="16"/>
      <c r="O147" s="16"/>
      <c r="P147" s="16"/>
      <c r="Q147" s="18"/>
      <c r="R147" s="18"/>
      <c r="S147" s="16"/>
      <c r="T147" s="16"/>
      <c r="U147" s="17"/>
    </row>
    <row r="148" spans="1:21" ht="16.05" customHeight="1" x14ac:dyDescent="0.3">
      <c r="A148" s="16"/>
      <c r="B148" s="16"/>
      <c r="C148" s="17"/>
      <c r="D148" s="17"/>
      <c r="E148" s="16"/>
      <c r="F148" s="16"/>
      <c r="G148" s="16"/>
      <c r="H148" s="16"/>
      <c r="I148" s="17"/>
      <c r="J148" s="17"/>
      <c r="K148" s="17"/>
      <c r="L148" s="17"/>
      <c r="M148" s="17"/>
      <c r="N148" s="16"/>
      <c r="O148" s="16"/>
      <c r="P148" s="16"/>
      <c r="Q148" s="18"/>
      <c r="R148" s="18"/>
      <c r="S148" s="16"/>
      <c r="T148" s="16"/>
      <c r="U148" s="17"/>
    </row>
    <row r="149" spans="1:21" ht="16.05" customHeight="1" x14ac:dyDescent="0.3">
      <c r="A149" s="16"/>
      <c r="B149" s="16"/>
      <c r="C149" s="17"/>
      <c r="D149" s="17"/>
      <c r="E149" s="16"/>
      <c r="F149" s="16"/>
      <c r="G149" s="16"/>
      <c r="H149" s="16"/>
      <c r="I149" s="17"/>
      <c r="J149" s="17"/>
      <c r="K149" s="17"/>
      <c r="L149" s="17"/>
      <c r="M149" s="17"/>
      <c r="N149" s="16"/>
      <c r="O149" s="16"/>
      <c r="P149" s="16"/>
      <c r="Q149" s="18"/>
      <c r="R149" s="18"/>
      <c r="S149" s="16"/>
      <c r="T149" s="16"/>
      <c r="U149" s="17"/>
    </row>
    <row r="150" spans="1:21" ht="16.05" customHeight="1" x14ac:dyDescent="0.3">
      <c r="A150" s="16"/>
      <c r="B150" s="16"/>
      <c r="C150" s="17"/>
      <c r="D150" s="17"/>
      <c r="E150" s="16"/>
      <c r="F150" s="16"/>
      <c r="G150" s="16"/>
      <c r="H150" s="16"/>
      <c r="I150" s="17"/>
      <c r="J150" s="17"/>
      <c r="K150" s="17"/>
      <c r="L150" s="17"/>
      <c r="M150" s="17"/>
      <c r="N150" s="16"/>
      <c r="O150" s="16"/>
      <c r="P150" s="16"/>
      <c r="Q150" s="18"/>
      <c r="R150" s="18"/>
      <c r="S150" s="16"/>
      <c r="T150" s="16"/>
      <c r="U150" s="17"/>
    </row>
    <row r="151" spans="1:21" ht="16.05" customHeight="1" x14ac:dyDescent="0.3">
      <c r="A151" s="16"/>
      <c r="B151" s="16"/>
      <c r="C151" s="17"/>
      <c r="D151" s="17"/>
      <c r="E151" s="16"/>
      <c r="F151" s="16"/>
      <c r="G151" s="16"/>
      <c r="H151" s="16"/>
      <c r="I151" s="17"/>
      <c r="J151" s="17"/>
      <c r="K151" s="17"/>
      <c r="L151" s="17"/>
      <c r="M151" s="17"/>
      <c r="N151" s="16"/>
      <c r="O151" s="16"/>
      <c r="P151" s="16"/>
      <c r="Q151" s="18"/>
      <c r="R151" s="18"/>
      <c r="S151" s="16"/>
      <c r="T151" s="16"/>
      <c r="U151" s="17"/>
    </row>
    <row r="152" spans="1:21" ht="16.05" customHeight="1" x14ac:dyDescent="0.3">
      <c r="A152" s="16"/>
      <c r="B152" s="16"/>
      <c r="C152" s="17"/>
      <c r="D152" s="17"/>
      <c r="E152" s="16"/>
      <c r="F152" s="16"/>
      <c r="G152" s="16"/>
      <c r="H152" s="16"/>
      <c r="I152" s="17"/>
      <c r="J152" s="17"/>
      <c r="K152" s="17"/>
      <c r="L152" s="17"/>
      <c r="M152" s="17"/>
      <c r="N152" s="16"/>
      <c r="O152" s="16"/>
      <c r="P152" s="16"/>
      <c r="Q152" s="18"/>
      <c r="R152" s="18"/>
      <c r="S152" s="16"/>
      <c r="T152" s="16"/>
      <c r="U152" s="17"/>
    </row>
    <row r="153" spans="1:21" ht="16.05" customHeight="1" x14ac:dyDescent="0.3">
      <c r="A153" s="16"/>
      <c r="B153" s="16"/>
      <c r="C153" s="17"/>
      <c r="D153" s="17"/>
      <c r="E153" s="16"/>
      <c r="F153" s="16"/>
      <c r="G153" s="16"/>
      <c r="H153" s="16"/>
      <c r="I153" s="17"/>
      <c r="J153" s="17"/>
      <c r="K153" s="17"/>
      <c r="L153" s="17"/>
      <c r="M153" s="17"/>
      <c r="N153" s="16"/>
      <c r="O153" s="16"/>
      <c r="P153" s="16"/>
      <c r="Q153" s="18"/>
      <c r="R153" s="18"/>
      <c r="S153" s="16"/>
      <c r="T153" s="16"/>
      <c r="U153" s="17"/>
    </row>
    <row r="154" spans="1:21" ht="16.05" customHeight="1" x14ac:dyDescent="0.3">
      <c r="A154" s="16"/>
      <c r="B154" s="16"/>
      <c r="C154" s="17"/>
      <c r="D154" s="17"/>
      <c r="E154" s="16"/>
      <c r="F154" s="16"/>
      <c r="G154" s="16"/>
      <c r="H154" s="16"/>
      <c r="I154" s="17"/>
      <c r="J154" s="17"/>
      <c r="K154" s="17"/>
      <c r="L154" s="17"/>
      <c r="M154" s="17"/>
      <c r="N154" s="16"/>
      <c r="O154" s="16"/>
      <c r="P154" s="16"/>
      <c r="Q154" s="18"/>
      <c r="R154" s="18"/>
      <c r="S154" s="16"/>
      <c r="T154" s="16"/>
      <c r="U154" s="17"/>
    </row>
    <row r="155" spans="1:21" ht="16.05" customHeight="1" x14ac:dyDescent="0.3">
      <c r="A155" s="16"/>
      <c r="B155" s="16"/>
      <c r="C155" s="17"/>
      <c r="D155" s="17"/>
      <c r="E155" s="16"/>
      <c r="F155" s="16"/>
      <c r="G155" s="16"/>
      <c r="H155" s="16"/>
      <c r="I155" s="17"/>
      <c r="J155" s="17"/>
      <c r="K155" s="17"/>
      <c r="L155" s="17"/>
      <c r="M155" s="17"/>
      <c r="N155" s="16"/>
      <c r="O155" s="16"/>
      <c r="P155" s="16"/>
      <c r="Q155" s="18"/>
      <c r="R155" s="18"/>
      <c r="S155" s="16"/>
      <c r="T155" s="16"/>
      <c r="U155" s="17"/>
    </row>
    <row r="156" spans="1:21" ht="16.05" customHeight="1" x14ac:dyDescent="0.3">
      <c r="A156" s="16"/>
      <c r="B156" s="16"/>
      <c r="C156" s="17"/>
      <c r="D156" s="17"/>
      <c r="E156" s="16"/>
      <c r="F156" s="16"/>
      <c r="G156" s="16"/>
      <c r="H156" s="16"/>
      <c r="I156" s="17"/>
      <c r="J156" s="17"/>
      <c r="K156" s="17"/>
      <c r="L156" s="17"/>
      <c r="M156" s="17"/>
      <c r="N156" s="16"/>
      <c r="O156" s="16"/>
      <c r="P156" s="16"/>
      <c r="Q156" s="18"/>
      <c r="R156" s="18"/>
      <c r="S156" s="16"/>
      <c r="T156" s="16"/>
      <c r="U156" s="17"/>
    </row>
    <row r="157" spans="1:21" ht="16.05" customHeight="1" x14ac:dyDescent="0.3">
      <c r="A157" s="16"/>
      <c r="B157" s="16"/>
      <c r="C157" s="17"/>
      <c r="D157" s="17"/>
      <c r="E157" s="16"/>
      <c r="F157" s="16"/>
      <c r="G157" s="16"/>
      <c r="H157" s="16"/>
      <c r="I157" s="17"/>
      <c r="J157" s="17"/>
      <c r="K157" s="17"/>
      <c r="L157" s="17"/>
      <c r="M157" s="17"/>
      <c r="N157" s="16"/>
      <c r="O157" s="16"/>
      <c r="P157" s="16"/>
      <c r="Q157" s="18"/>
      <c r="R157" s="18"/>
      <c r="S157" s="16"/>
      <c r="T157" s="16"/>
      <c r="U157" s="17"/>
    </row>
    <row r="158" spans="1:21" ht="16.05" customHeight="1" x14ac:dyDescent="0.3">
      <c r="A158" s="16"/>
      <c r="B158" s="16"/>
      <c r="C158" s="17"/>
      <c r="D158" s="17"/>
      <c r="E158" s="16"/>
      <c r="F158" s="16"/>
      <c r="G158" s="16"/>
      <c r="H158" s="16"/>
      <c r="I158" s="17"/>
      <c r="J158" s="17"/>
      <c r="K158" s="17"/>
      <c r="L158" s="17"/>
      <c r="M158" s="17"/>
      <c r="N158" s="16"/>
      <c r="O158" s="16"/>
      <c r="P158" s="16"/>
      <c r="Q158" s="18"/>
      <c r="R158" s="18"/>
      <c r="S158" s="16"/>
      <c r="T158" s="16"/>
      <c r="U158" s="17"/>
    </row>
    <row r="159" spans="1:21" ht="16.05" customHeight="1" x14ac:dyDescent="0.3">
      <c r="A159" s="16"/>
      <c r="B159" s="16"/>
      <c r="C159" s="17"/>
      <c r="D159" s="17"/>
      <c r="E159" s="16"/>
      <c r="F159" s="16"/>
      <c r="G159" s="16"/>
      <c r="H159" s="16"/>
      <c r="I159" s="17"/>
      <c r="J159" s="17"/>
      <c r="K159" s="17"/>
      <c r="L159" s="17"/>
      <c r="M159" s="17"/>
      <c r="N159" s="16"/>
      <c r="O159" s="16"/>
      <c r="P159" s="16"/>
      <c r="Q159" s="18"/>
      <c r="R159" s="18"/>
      <c r="S159" s="16"/>
      <c r="T159" s="16"/>
      <c r="U159" s="17"/>
    </row>
    <row r="160" spans="1:21" ht="16.05" customHeight="1" x14ac:dyDescent="0.3">
      <c r="A160" s="16"/>
      <c r="B160" s="16"/>
      <c r="C160" s="17"/>
      <c r="D160" s="17"/>
      <c r="E160" s="16"/>
      <c r="F160" s="16"/>
      <c r="G160" s="16"/>
      <c r="H160" s="16"/>
      <c r="I160" s="17"/>
      <c r="J160" s="17"/>
      <c r="K160" s="17"/>
      <c r="L160" s="17"/>
      <c r="M160" s="17"/>
      <c r="N160" s="16"/>
      <c r="O160" s="16"/>
      <c r="P160" s="16"/>
      <c r="Q160" s="18"/>
      <c r="R160" s="18"/>
      <c r="S160" s="16"/>
      <c r="T160" s="16"/>
      <c r="U160" s="17"/>
    </row>
    <row r="161" spans="1:21" ht="16.05" customHeight="1" x14ac:dyDescent="0.3">
      <c r="A161" s="16"/>
      <c r="B161" s="16"/>
      <c r="C161" s="17"/>
      <c r="D161" s="17"/>
      <c r="E161" s="16"/>
      <c r="F161" s="16"/>
      <c r="G161" s="16"/>
      <c r="H161" s="16"/>
      <c r="I161" s="17"/>
      <c r="J161" s="17"/>
      <c r="K161" s="17"/>
      <c r="L161" s="17"/>
      <c r="M161" s="17"/>
      <c r="N161" s="16"/>
      <c r="O161" s="16"/>
      <c r="P161" s="16"/>
      <c r="Q161" s="18"/>
      <c r="R161" s="18"/>
      <c r="S161" s="16"/>
      <c r="T161" s="16"/>
      <c r="U161" s="17"/>
    </row>
    <row r="162" spans="1:21" ht="16.05" customHeight="1" x14ac:dyDescent="0.3">
      <c r="A162" s="16"/>
      <c r="B162" s="16"/>
      <c r="C162" s="17"/>
      <c r="D162" s="17"/>
      <c r="E162" s="16"/>
      <c r="F162" s="16"/>
      <c r="G162" s="16"/>
      <c r="H162" s="16"/>
      <c r="I162" s="17"/>
      <c r="J162" s="17"/>
      <c r="K162" s="17"/>
      <c r="L162" s="17"/>
      <c r="M162" s="17"/>
      <c r="N162" s="16"/>
      <c r="O162" s="16"/>
      <c r="P162" s="16"/>
      <c r="Q162" s="18"/>
      <c r="R162" s="18"/>
      <c r="S162" s="16"/>
      <c r="T162" s="16"/>
      <c r="U162" s="17"/>
    </row>
    <row r="163" spans="1:21" ht="16.05" customHeight="1" x14ac:dyDescent="0.3">
      <c r="A163" s="16"/>
      <c r="B163" s="16"/>
      <c r="C163" s="17"/>
      <c r="D163" s="17"/>
      <c r="E163" s="16"/>
      <c r="F163" s="16"/>
      <c r="G163" s="16"/>
      <c r="H163" s="16"/>
      <c r="I163" s="17"/>
      <c r="J163" s="17"/>
      <c r="K163" s="17"/>
      <c r="L163" s="17"/>
      <c r="M163" s="17"/>
      <c r="N163" s="16"/>
      <c r="O163" s="16"/>
      <c r="P163" s="16"/>
      <c r="Q163" s="18"/>
      <c r="R163" s="18"/>
      <c r="S163" s="16"/>
      <c r="T163" s="16"/>
      <c r="U163" s="17"/>
    </row>
    <row r="164" spans="1:21" ht="16.05" customHeight="1" x14ac:dyDescent="0.3">
      <c r="A164" s="16"/>
      <c r="B164" s="16"/>
      <c r="C164" s="17"/>
      <c r="D164" s="17"/>
      <c r="E164" s="16"/>
      <c r="F164" s="16"/>
      <c r="G164" s="16"/>
      <c r="H164" s="16"/>
      <c r="I164" s="17"/>
      <c r="J164" s="17"/>
      <c r="K164" s="17"/>
      <c r="L164" s="17"/>
      <c r="M164" s="17"/>
      <c r="N164" s="16"/>
      <c r="O164" s="16"/>
      <c r="P164" s="16"/>
      <c r="Q164" s="18"/>
      <c r="R164" s="18"/>
      <c r="S164" s="16"/>
      <c r="T164" s="16"/>
      <c r="U164" s="17"/>
    </row>
    <row r="165" spans="1:21" ht="16.05" customHeight="1" x14ac:dyDescent="0.3">
      <c r="A165" s="16"/>
      <c r="B165" s="16"/>
      <c r="C165" s="17"/>
      <c r="D165" s="17"/>
      <c r="E165" s="16"/>
      <c r="F165" s="16"/>
      <c r="G165" s="16"/>
      <c r="H165" s="16"/>
      <c r="I165" s="17"/>
      <c r="J165" s="17"/>
      <c r="K165" s="17"/>
      <c r="L165" s="17"/>
      <c r="M165" s="17"/>
      <c r="N165" s="16"/>
      <c r="O165" s="16"/>
      <c r="P165" s="16"/>
      <c r="Q165" s="18"/>
      <c r="R165" s="18"/>
      <c r="S165" s="16"/>
      <c r="T165" s="16"/>
      <c r="U165" s="17"/>
    </row>
    <row r="166" spans="1:21" ht="16.05" customHeight="1" x14ac:dyDescent="0.3">
      <c r="A166" s="16"/>
      <c r="B166" s="16"/>
      <c r="C166" s="17"/>
      <c r="D166" s="17"/>
      <c r="E166" s="16"/>
      <c r="F166" s="16"/>
      <c r="G166" s="16"/>
      <c r="H166" s="16"/>
      <c r="I166" s="17"/>
      <c r="J166" s="17"/>
      <c r="K166" s="17"/>
      <c r="L166" s="17"/>
      <c r="M166" s="17"/>
      <c r="N166" s="16"/>
      <c r="O166" s="16"/>
      <c r="P166" s="16"/>
      <c r="Q166" s="18"/>
      <c r="R166" s="18"/>
      <c r="S166" s="16"/>
      <c r="T166" s="16"/>
      <c r="U166" s="17"/>
    </row>
    <row r="167" spans="1:21" ht="16.05" customHeight="1" x14ac:dyDescent="0.3">
      <c r="A167" s="16"/>
      <c r="B167" s="16"/>
      <c r="C167" s="17"/>
      <c r="D167" s="17"/>
      <c r="E167" s="16"/>
      <c r="F167" s="16"/>
      <c r="G167" s="16"/>
      <c r="H167" s="16"/>
      <c r="I167" s="17"/>
      <c r="J167" s="17"/>
      <c r="K167" s="17"/>
      <c r="L167" s="17"/>
      <c r="M167" s="17"/>
      <c r="N167" s="16"/>
      <c r="O167" s="16"/>
      <c r="P167" s="16"/>
      <c r="Q167" s="18"/>
      <c r="R167" s="18"/>
      <c r="S167" s="16"/>
      <c r="T167" s="16"/>
      <c r="U167" s="17"/>
    </row>
    <row r="168" spans="1:21" ht="16.05" customHeight="1" x14ac:dyDescent="0.3">
      <c r="A168" s="16"/>
      <c r="B168" s="16"/>
      <c r="C168" s="17"/>
      <c r="D168" s="17"/>
      <c r="E168" s="16"/>
      <c r="F168" s="16"/>
      <c r="G168" s="16"/>
      <c r="H168" s="16"/>
      <c r="I168" s="17"/>
      <c r="J168" s="17"/>
      <c r="K168" s="17"/>
      <c r="L168" s="17"/>
      <c r="M168" s="17"/>
      <c r="N168" s="16"/>
      <c r="O168" s="16"/>
      <c r="P168" s="16"/>
      <c r="Q168" s="18"/>
      <c r="R168" s="18"/>
      <c r="S168" s="16"/>
      <c r="T168" s="16"/>
      <c r="U168" s="17"/>
    </row>
    <row r="169" spans="1:21" ht="16.05" customHeight="1" x14ac:dyDescent="0.3">
      <c r="A169" s="16"/>
      <c r="B169" s="16"/>
      <c r="C169" s="17"/>
      <c r="D169" s="17"/>
      <c r="E169" s="16"/>
      <c r="F169" s="16"/>
      <c r="G169" s="16"/>
      <c r="H169" s="16"/>
      <c r="I169" s="17"/>
      <c r="J169" s="17"/>
      <c r="K169" s="17"/>
      <c r="L169" s="17"/>
      <c r="M169" s="17"/>
      <c r="N169" s="16"/>
      <c r="O169" s="16"/>
      <c r="P169" s="16"/>
      <c r="Q169" s="18"/>
      <c r="R169" s="18"/>
      <c r="S169" s="16"/>
      <c r="T169" s="16"/>
      <c r="U169" s="17"/>
    </row>
    <row r="170" spans="1:21" ht="16.05" customHeight="1" x14ac:dyDescent="0.3">
      <c r="A170" s="16"/>
      <c r="B170" s="16"/>
      <c r="C170" s="17"/>
      <c r="D170" s="17"/>
      <c r="E170" s="16"/>
      <c r="F170" s="16"/>
      <c r="G170" s="16"/>
      <c r="H170" s="16"/>
      <c r="I170" s="17"/>
      <c r="J170" s="17"/>
      <c r="K170" s="17"/>
      <c r="L170" s="17"/>
      <c r="M170" s="17"/>
      <c r="N170" s="16"/>
      <c r="O170" s="16"/>
      <c r="P170" s="16"/>
      <c r="Q170" s="18"/>
      <c r="R170" s="18"/>
      <c r="S170" s="16"/>
      <c r="T170" s="16"/>
      <c r="U170" s="17"/>
    </row>
    <row r="171" spans="1:21" ht="16.05" customHeight="1" x14ac:dyDescent="0.3">
      <c r="A171" s="16"/>
      <c r="B171" s="16"/>
      <c r="C171" s="17"/>
      <c r="D171" s="17"/>
      <c r="E171" s="16"/>
      <c r="F171" s="16"/>
      <c r="G171" s="16"/>
      <c r="H171" s="16"/>
      <c r="I171" s="17"/>
      <c r="J171" s="17"/>
      <c r="K171" s="17"/>
      <c r="L171" s="17"/>
      <c r="M171" s="17"/>
      <c r="N171" s="16"/>
      <c r="O171" s="16"/>
      <c r="P171" s="16"/>
      <c r="Q171" s="18"/>
      <c r="R171" s="18"/>
      <c r="S171" s="16"/>
      <c r="T171" s="16"/>
      <c r="U171" s="17"/>
    </row>
    <row r="172" spans="1:21" ht="16.05" customHeight="1" x14ac:dyDescent="0.3">
      <c r="A172" s="16"/>
      <c r="B172" s="16"/>
      <c r="C172" s="17"/>
      <c r="D172" s="17"/>
      <c r="E172" s="16"/>
      <c r="F172" s="16"/>
      <c r="G172" s="16"/>
      <c r="H172" s="16"/>
      <c r="I172" s="17"/>
      <c r="J172" s="17"/>
      <c r="K172" s="17"/>
      <c r="L172" s="17"/>
      <c r="M172" s="17"/>
      <c r="N172" s="16"/>
      <c r="O172" s="16"/>
      <c r="P172" s="16"/>
      <c r="Q172" s="18"/>
      <c r="R172" s="18"/>
      <c r="S172" s="16"/>
      <c r="T172" s="16"/>
      <c r="U172" s="17"/>
    </row>
    <row r="173" spans="1:21" ht="16.05" customHeight="1" x14ac:dyDescent="0.3">
      <c r="A173" s="16"/>
      <c r="B173" s="16"/>
      <c r="C173" s="17"/>
      <c r="D173" s="17"/>
      <c r="E173" s="16"/>
      <c r="F173" s="16"/>
      <c r="G173" s="16"/>
      <c r="H173" s="16"/>
      <c r="I173" s="17"/>
      <c r="J173" s="17"/>
      <c r="K173" s="17"/>
      <c r="L173" s="17"/>
      <c r="M173" s="17"/>
      <c r="N173" s="16"/>
      <c r="O173" s="16"/>
      <c r="P173" s="16"/>
      <c r="Q173" s="18"/>
      <c r="R173" s="18"/>
      <c r="S173" s="16"/>
      <c r="T173" s="16"/>
      <c r="U173" s="17"/>
    </row>
    <row r="174" spans="1:21" ht="16.05" customHeight="1" x14ac:dyDescent="0.3">
      <c r="A174" s="16"/>
      <c r="B174" s="16"/>
      <c r="C174" s="17"/>
      <c r="D174" s="17"/>
      <c r="E174" s="16"/>
      <c r="F174" s="16"/>
      <c r="G174" s="16"/>
      <c r="H174" s="16"/>
      <c r="I174" s="17"/>
      <c r="J174" s="17"/>
      <c r="K174" s="17"/>
      <c r="L174" s="17"/>
      <c r="M174" s="17"/>
      <c r="N174" s="16"/>
      <c r="O174" s="16"/>
      <c r="P174" s="16"/>
      <c r="Q174" s="18"/>
      <c r="R174" s="18"/>
      <c r="S174" s="16"/>
      <c r="T174" s="16"/>
      <c r="U174" s="17"/>
    </row>
    <row r="175" spans="1:21" ht="16.05" customHeight="1" x14ac:dyDescent="0.3">
      <c r="A175" s="16"/>
      <c r="B175" s="16"/>
      <c r="C175" s="17"/>
      <c r="D175" s="17"/>
      <c r="E175" s="16"/>
      <c r="F175" s="16"/>
      <c r="G175" s="16"/>
      <c r="H175" s="16"/>
      <c r="I175" s="17"/>
      <c r="J175" s="17"/>
      <c r="K175" s="17"/>
      <c r="L175" s="17"/>
      <c r="M175" s="17"/>
      <c r="N175" s="16"/>
      <c r="O175" s="16"/>
      <c r="P175" s="16"/>
      <c r="Q175" s="18"/>
      <c r="R175" s="18"/>
      <c r="S175" s="16"/>
      <c r="T175" s="16"/>
      <c r="U175" s="17"/>
    </row>
    <row r="176" spans="1:21" ht="16.05" customHeight="1" x14ac:dyDescent="0.3">
      <c r="A176" s="16"/>
      <c r="B176" s="16"/>
      <c r="C176" s="17"/>
      <c r="D176" s="17"/>
      <c r="E176" s="16"/>
      <c r="F176" s="16"/>
      <c r="G176" s="16"/>
      <c r="H176" s="16"/>
      <c r="I176" s="17"/>
      <c r="J176" s="17"/>
      <c r="K176" s="17"/>
      <c r="L176" s="17"/>
      <c r="M176" s="17"/>
      <c r="N176" s="16"/>
      <c r="O176" s="16"/>
      <c r="P176" s="16"/>
      <c r="Q176" s="18"/>
      <c r="R176" s="18"/>
      <c r="S176" s="16"/>
      <c r="T176" s="16"/>
      <c r="U176" s="17"/>
    </row>
    <row r="177" spans="1:21" ht="16.05" customHeight="1" x14ac:dyDescent="0.3">
      <c r="A177" s="16"/>
      <c r="B177" s="16"/>
      <c r="C177" s="17"/>
      <c r="D177" s="17"/>
      <c r="E177" s="16"/>
      <c r="F177" s="16"/>
      <c r="G177" s="16"/>
      <c r="H177" s="16"/>
      <c r="I177" s="17"/>
      <c r="J177" s="17"/>
      <c r="K177" s="17"/>
      <c r="L177" s="17"/>
      <c r="M177" s="17"/>
      <c r="N177" s="16"/>
      <c r="O177" s="16"/>
      <c r="P177" s="16"/>
      <c r="Q177" s="18"/>
      <c r="R177" s="18"/>
      <c r="S177" s="16"/>
      <c r="T177" s="16"/>
      <c r="U177" s="17"/>
    </row>
    <row r="178" spans="1:21" ht="16.05" customHeight="1" x14ac:dyDescent="0.3">
      <c r="A178" s="16"/>
      <c r="B178" s="16"/>
      <c r="C178" s="17"/>
      <c r="D178" s="17"/>
      <c r="E178" s="16"/>
      <c r="F178" s="16"/>
      <c r="G178" s="16"/>
      <c r="H178" s="16"/>
      <c r="I178" s="17"/>
      <c r="J178" s="17"/>
      <c r="K178" s="17"/>
      <c r="L178" s="17"/>
      <c r="M178" s="17"/>
      <c r="N178" s="16"/>
      <c r="O178" s="16"/>
      <c r="P178" s="16"/>
      <c r="Q178" s="18"/>
      <c r="R178" s="18"/>
      <c r="S178" s="16"/>
      <c r="T178" s="16"/>
      <c r="U178" s="17"/>
    </row>
    <row r="179" spans="1:21" ht="16.05" customHeight="1" x14ac:dyDescent="0.3">
      <c r="A179" s="16"/>
      <c r="B179" s="16"/>
      <c r="C179" s="17"/>
      <c r="D179" s="17"/>
      <c r="E179" s="16"/>
      <c r="F179" s="16"/>
      <c r="G179" s="16"/>
      <c r="H179" s="16"/>
      <c r="I179" s="17"/>
      <c r="J179" s="17"/>
      <c r="K179" s="17"/>
      <c r="L179" s="17"/>
      <c r="M179" s="17"/>
      <c r="N179" s="16"/>
      <c r="O179" s="16"/>
      <c r="P179" s="16"/>
      <c r="Q179" s="18"/>
      <c r="R179" s="18"/>
      <c r="S179" s="16"/>
      <c r="T179" s="16"/>
      <c r="U179" s="17"/>
    </row>
    <row r="180" spans="1:21" ht="16.05" customHeight="1" x14ac:dyDescent="0.3">
      <c r="A180" s="16"/>
      <c r="B180" s="16"/>
      <c r="C180" s="17"/>
      <c r="D180" s="17"/>
      <c r="E180" s="16"/>
      <c r="F180" s="16"/>
      <c r="G180" s="16"/>
      <c r="H180" s="16"/>
      <c r="I180" s="17"/>
      <c r="J180" s="17"/>
      <c r="K180" s="17"/>
      <c r="L180" s="17"/>
      <c r="M180" s="17"/>
      <c r="N180" s="16"/>
      <c r="O180" s="16"/>
      <c r="P180" s="16"/>
      <c r="Q180" s="18"/>
      <c r="R180" s="18"/>
      <c r="S180" s="16"/>
      <c r="T180" s="16"/>
      <c r="U180" s="17"/>
    </row>
    <row r="181" spans="1:21" ht="16.05" customHeight="1" x14ac:dyDescent="0.3">
      <c r="A181" s="16"/>
      <c r="B181" s="16"/>
      <c r="C181" s="17"/>
      <c r="D181" s="17"/>
      <c r="E181" s="16"/>
      <c r="F181" s="16"/>
      <c r="G181" s="16"/>
      <c r="H181" s="16"/>
      <c r="I181" s="17"/>
      <c r="J181" s="17"/>
      <c r="K181" s="17"/>
      <c r="L181" s="17"/>
      <c r="M181" s="17"/>
      <c r="N181" s="16"/>
      <c r="O181" s="16"/>
      <c r="P181" s="16"/>
      <c r="Q181" s="18"/>
      <c r="R181" s="18"/>
      <c r="S181" s="16"/>
      <c r="T181" s="16"/>
      <c r="U181" s="17"/>
    </row>
    <row r="182" spans="1:21" ht="16.05" customHeight="1" x14ac:dyDescent="0.3">
      <c r="A182" s="16"/>
      <c r="B182" s="16"/>
      <c r="C182" s="17"/>
      <c r="D182" s="17"/>
      <c r="E182" s="16"/>
      <c r="F182" s="16"/>
      <c r="G182" s="16"/>
      <c r="H182" s="16"/>
      <c r="I182" s="17"/>
      <c r="J182" s="17"/>
      <c r="K182" s="17"/>
      <c r="L182" s="17"/>
      <c r="M182" s="17"/>
      <c r="N182" s="16"/>
      <c r="O182" s="16"/>
      <c r="P182" s="16"/>
      <c r="Q182" s="18"/>
      <c r="R182" s="18"/>
      <c r="S182" s="16"/>
      <c r="T182" s="16"/>
      <c r="U182" s="17"/>
    </row>
    <row r="183" spans="1:21" ht="16.05" customHeight="1" x14ac:dyDescent="0.3">
      <c r="A183" s="16"/>
      <c r="B183" s="16"/>
      <c r="C183" s="17"/>
      <c r="D183" s="17"/>
      <c r="E183" s="16"/>
      <c r="F183" s="16"/>
      <c r="G183" s="16"/>
      <c r="H183" s="16"/>
      <c r="I183" s="17"/>
      <c r="J183" s="17"/>
      <c r="K183" s="17"/>
      <c r="L183" s="17"/>
      <c r="M183" s="17"/>
      <c r="N183" s="16"/>
      <c r="O183" s="16"/>
      <c r="P183" s="16"/>
      <c r="Q183" s="18"/>
      <c r="R183" s="18"/>
      <c r="S183" s="16"/>
      <c r="T183" s="16"/>
      <c r="U183" s="17"/>
    </row>
    <row r="184" spans="1:21" ht="16.05" customHeight="1" x14ac:dyDescent="0.3">
      <c r="A184" s="16"/>
      <c r="B184" s="16"/>
      <c r="C184" s="17"/>
      <c r="D184" s="17"/>
      <c r="E184" s="16"/>
      <c r="F184" s="16"/>
      <c r="G184" s="16"/>
      <c r="H184" s="16"/>
      <c r="I184" s="17"/>
      <c r="J184" s="17"/>
      <c r="K184" s="17"/>
      <c r="L184" s="17"/>
      <c r="M184" s="17"/>
      <c r="N184" s="16"/>
      <c r="O184" s="16"/>
      <c r="P184" s="16"/>
      <c r="Q184" s="18"/>
      <c r="R184" s="18"/>
      <c r="S184" s="16"/>
      <c r="T184" s="16"/>
      <c r="U184" s="17"/>
    </row>
    <row r="185" spans="1:21" ht="16.05" customHeight="1" x14ac:dyDescent="0.3">
      <c r="A185" s="16"/>
      <c r="B185" s="16"/>
      <c r="C185" s="17"/>
      <c r="D185" s="17"/>
      <c r="E185" s="16"/>
      <c r="F185" s="16"/>
      <c r="G185" s="16"/>
      <c r="H185" s="16"/>
      <c r="I185" s="17"/>
      <c r="J185" s="17"/>
      <c r="K185" s="17"/>
      <c r="L185" s="17"/>
      <c r="M185" s="17"/>
      <c r="N185" s="16"/>
      <c r="O185" s="16"/>
      <c r="P185" s="16"/>
      <c r="Q185" s="18"/>
      <c r="R185" s="18"/>
      <c r="S185" s="16"/>
      <c r="T185" s="16"/>
      <c r="U185" s="17"/>
    </row>
    <row r="186" spans="1:21" ht="16.05" customHeight="1" x14ac:dyDescent="0.3">
      <c r="A186" s="16"/>
      <c r="B186" s="16"/>
      <c r="C186" s="17"/>
      <c r="D186" s="17"/>
      <c r="E186" s="16"/>
      <c r="F186" s="16"/>
      <c r="G186" s="16"/>
      <c r="H186" s="16"/>
      <c r="I186" s="17"/>
      <c r="J186" s="17"/>
      <c r="K186" s="17"/>
      <c r="L186" s="17"/>
      <c r="M186" s="17"/>
      <c r="N186" s="16"/>
      <c r="O186" s="16"/>
      <c r="P186" s="16"/>
      <c r="Q186" s="18"/>
      <c r="R186" s="18"/>
      <c r="S186" s="16"/>
      <c r="T186" s="16"/>
      <c r="U186" s="17"/>
    </row>
    <row r="187" spans="1:21" ht="16.05" customHeight="1" x14ac:dyDescent="0.3">
      <c r="A187" s="16"/>
      <c r="B187" s="16"/>
      <c r="C187" s="17"/>
      <c r="D187" s="17"/>
      <c r="E187" s="16"/>
      <c r="F187" s="16"/>
      <c r="G187" s="16"/>
      <c r="H187" s="16"/>
      <c r="I187" s="17"/>
      <c r="J187" s="17"/>
      <c r="K187" s="17"/>
      <c r="L187" s="17"/>
      <c r="M187" s="17"/>
      <c r="N187" s="16"/>
      <c r="O187" s="16"/>
      <c r="P187" s="16"/>
      <c r="Q187" s="18"/>
      <c r="R187" s="18"/>
      <c r="S187" s="16"/>
      <c r="T187" s="16"/>
      <c r="U187" s="17"/>
    </row>
    <row r="188" spans="1:21" ht="16.05" customHeight="1" x14ac:dyDescent="0.3">
      <c r="A188" s="16"/>
      <c r="B188" s="16"/>
      <c r="C188" s="17"/>
      <c r="D188" s="17"/>
      <c r="E188" s="16"/>
      <c r="F188" s="16"/>
      <c r="G188" s="16"/>
      <c r="H188" s="16"/>
      <c r="I188" s="17"/>
      <c r="J188" s="17"/>
      <c r="K188" s="17"/>
      <c r="L188" s="17"/>
      <c r="M188" s="17"/>
      <c r="N188" s="16"/>
      <c r="O188" s="16"/>
      <c r="P188" s="16"/>
      <c r="Q188" s="18"/>
      <c r="R188" s="18"/>
      <c r="S188" s="16"/>
      <c r="T188" s="16"/>
      <c r="U188" s="17"/>
    </row>
    <row r="189" spans="1:21" ht="16.05" customHeight="1" x14ac:dyDescent="0.3">
      <c r="A189" s="16"/>
      <c r="B189" s="16"/>
      <c r="C189" s="17"/>
      <c r="D189" s="17"/>
      <c r="E189" s="16"/>
      <c r="F189" s="16"/>
      <c r="G189" s="16"/>
      <c r="H189" s="16"/>
      <c r="I189" s="17"/>
      <c r="J189" s="17"/>
      <c r="K189" s="17"/>
      <c r="L189" s="17"/>
      <c r="M189" s="17"/>
      <c r="N189" s="16"/>
      <c r="O189" s="16"/>
      <c r="P189" s="16"/>
      <c r="Q189" s="18"/>
      <c r="R189" s="18"/>
      <c r="S189" s="16"/>
      <c r="T189" s="16"/>
      <c r="U189" s="17"/>
    </row>
    <row r="190" spans="1:21" ht="16.05" customHeight="1" x14ac:dyDescent="0.3">
      <c r="A190" s="16"/>
      <c r="B190" s="16"/>
      <c r="C190" s="17"/>
      <c r="D190" s="17"/>
      <c r="E190" s="16"/>
      <c r="F190" s="16"/>
      <c r="G190" s="16"/>
      <c r="H190" s="16"/>
      <c r="I190" s="17"/>
      <c r="J190" s="17"/>
      <c r="K190" s="17"/>
      <c r="L190" s="17"/>
      <c r="M190" s="17"/>
      <c r="N190" s="16"/>
      <c r="O190" s="16"/>
      <c r="P190" s="16"/>
      <c r="Q190" s="18"/>
      <c r="R190" s="18"/>
      <c r="S190" s="16"/>
      <c r="T190" s="16"/>
      <c r="U190" s="17"/>
    </row>
    <row r="191" spans="1:21" ht="16.05" customHeight="1" x14ac:dyDescent="0.3">
      <c r="A191" s="16"/>
      <c r="B191" s="16"/>
      <c r="C191" s="17"/>
      <c r="D191" s="17"/>
      <c r="E191" s="16"/>
      <c r="F191" s="16"/>
      <c r="G191" s="16"/>
      <c r="H191" s="16"/>
      <c r="I191" s="17"/>
      <c r="J191" s="17"/>
      <c r="K191" s="17"/>
      <c r="L191" s="17"/>
      <c r="M191" s="17"/>
      <c r="N191" s="16"/>
      <c r="O191" s="16"/>
      <c r="P191" s="16"/>
      <c r="Q191" s="18"/>
      <c r="R191" s="18"/>
      <c r="S191" s="16"/>
      <c r="T191" s="16"/>
      <c r="U191" s="17"/>
    </row>
    <row r="192" spans="1:21" ht="16.05" customHeight="1" x14ac:dyDescent="0.3">
      <c r="A192" s="16"/>
      <c r="B192" s="16"/>
      <c r="C192" s="17"/>
      <c r="D192" s="17"/>
      <c r="E192" s="16"/>
      <c r="F192" s="16"/>
      <c r="G192" s="16"/>
      <c r="H192" s="16"/>
      <c r="I192" s="17"/>
      <c r="J192" s="17"/>
      <c r="K192" s="17"/>
      <c r="L192" s="17"/>
      <c r="M192" s="17"/>
      <c r="N192" s="16"/>
      <c r="O192" s="16"/>
      <c r="P192" s="16"/>
      <c r="Q192" s="18"/>
      <c r="R192" s="18"/>
      <c r="S192" s="16"/>
      <c r="T192" s="16"/>
      <c r="U192" s="17"/>
    </row>
    <row r="193" spans="1:21" ht="16.05" customHeight="1" x14ac:dyDescent="0.3">
      <c r="A193" s="16"/>
      <c r="B193" s="16"/>
      <c r="C193" s="17"/>
      <c r="D193" s="17"/>
      <c r="E193" s="16"/>
      <c r="F193" s="16"/>
      <c r="G193" s="16"/>
      <c r="H193" s="16"/>
      <c r="I193" s="17"/>
      <c r="J193" s="17"/>
      <c r="K193" s="17"/>
      <c r="L193" s="17"/>
      <c r="M193" s="17"/>
      <c r="N193" s="16"/>
      <c r="O193" s="16"/>
      <c r="P193" s="16"/>
      <c r="Q193" s="18"/>
      <c r="R193" s="18"/>
      <c r="S193" s="16"/>
      <c r="T193" s="16"/>
      <c r="U193" s="17"/>
    </row>
    <row r="194" spans="1:21" ht="16.05" customHeight="1" x14ac:dyDescent="0.3">
      <c r="A194" s="16"/>
      <c r="B194" s="16"/>
      <c r="C194" s="17"/>
      <c r="D194" s="17"/>
      <c r="E194" s="16"/>
      <c r="F194" s="16"/>
      <c r="G194" s="16"/>
      <c r="H194" s="16"/>
      <c r="I194" s="17"/>
      <c r="J194" s="17"/>
      <c r="K194" s="17"/>
      <c r="L194" s="17"/>
      <c r="M194" s="17"/>
      <c r="N194" s="16"/>
      <c r="O194" s="16"/>
      <c r="P194" s="16"/>
      <c r="Q194" s="18"/>
      <c r="R194" s="18"/>
      <c r="S194" s="16"/>
      <c r="T194" s="16"/>
      <c r="U194" s="17"/>
    </row>
    <row r="195" spans="1:21" ht="16.05" customHeight="1" x14ac:dyDescent="0.3">
      <c r="A195" s="16"/>
      <c r="B195" s="16"/>
      <c r="C195" s="17"/>
      <c r="D195" s="17"/>
      <c r="E195" s="16"/>
      <c r="F195" s="16"/>
      <c r="G195" s="16"/>
      <c r="H195" s="16"/>
      <c r="I195" s="17"/>
      <c r="J195" s="17"/>
      <c r="K195" s="17"/>
      <c r="L195" s="17"/>
      <c r="M195" s="17"/>
      <c r="N195" s="16"/>
      <c r="O195" s="16"/>
      <c r="P195" s="16"/>
      <c r="Q195" s="18"/>
      <c r="R195" s="18"/>
      <c r="S195" s="16"/>
      <c r="T195" s="16"/>
      <c r="U195" s="17"/>
    </row>
    <row r="196" spans="1:21" ht="16.05" customHeight="1" x14ac:dyDescent="0.3">
      <c r="A196" s="16"/>
      <c r="B196" s="16"/>
      <c r="C196" s="17"/>
      <c r="D196" s="17"/>
      <c r="E196" s="16"/>
      <c r="F196" s="16"/>
      <c r="G196" s="16"/>
      <c r="H196" s="16"/>
      <c r="I196" s="17"/>
      <c r="J196" s="17"/>
      <c r="K196" s="17"/>
      <c r="L196" s="17"/>
      <c r="M196" s="17"/>
      <c r="N196" s="16"/>
      <c r="O196" s="16"/>
      <c r="P196" s="16"/>
      <c r="Q196" s="18"/>
      <c r="R196" s="18"/>
      <c r="S196" s="16"/>
      <c r="T196" s="16"/>
      <c r="U196" s="17"/>
    </row>
    <row r="197" spans="1:21" ht="16.05" customHeight="1" x14ac:dyDescent="0.3">
      <c r="A197" s="16"/>
      <c r="B197" s="16"/>
      <c r="C197" s="17"/>
      <c r="D197" s="17"/>
      <c r="E197" s="16"/>
      <c r="F197" s="16"/>
      <c r="G197" s="16"/>
      <c r="H197" s="16"/>
      <c r="I197" s="17"/>
      <c r="J197" s="17"/>
      <c r="K197" s="17"/>
      <c r="L197" s="17"/>
      <c r="M197" s="17"/>
      <c r="N197" s="16"/>
      <c r="O197" s="16"/>
      <c r="P197" s="16"/>
      <c r="Q197" s="18"/>
      <c r="R197" s="18"/>
      <c r="S197" s="16"/>
      <c r="T197" s="16"/>
      <c r="U197" s="17"/>
    </row>
    <row r="198" spans="1:21" ht="16.05" customHeight="1" x14ac:dyDescent="0.3">
      <c r="A198" s="16"/>
      <c r="B198" s="16"/>
      <c r="C198" s="17"/>
      <c r="D198" s="17"/>
      <c r="E198" s="16"/>
      <c r="F198" s="16"/>
      <c r="G198" s="16"/>
      <c r="H198" s="16"/>
      <c r="I198" s="17"/>
      <c r="J198" s="17"/>
      <c r="K198" s="17"/>
      <c r="L198" s="17"/>
      <c r="M198" s="17"/>
      <c r="N198" s="16"/>
      <c r="O198" s="16"/>
      <c r="P198" s="16"/>
      <c r="Q198" s="18"/>
      <c r="R198" s="18"/>
      <c r="S198" s="16"/>
      <c r="T198" s="16"/>
      <c r="U198" s="17"/>
    </row>
    <row r="199" spans="1:21" ht="16.05" customHeight="1" x14ac:dyDescent="0.3">
      <c r="A199" s="16"/>
      <c r="B199" s="16"/>
      <c r="C199" s="17"/>
      <c r="D199" s="17"/>
      <c r="E199" s="16"/>
      <c r="F199" s="16"/>
      <c r="G199" s="16"/>
      <c r="H199" s="16"/>
      <c r="I199" s="17"/>
      <c r="J199" s="17"/>
      <c r="K199" s="17"/>
      <c r="L199" s="17"/>
      <c r="M199" s="17"/>
      <c r="N199" s="16"/>
      <c r="O199" s="16"/>
      <c r="P199" s="16"/>
      <c r="Q199" s="18"/>
      <c r="R199" s="18"/>
      <c r="S199" s="16"/>
      <c r="T199" s="16"/>
      <c r="U199" s="17"/>
    </row>
    <row r="200" spans="1:21" ht="16.05" customHeight="1" x14ac:dyDescent="0.3">
      <c r="A200" s="16"/>
      <c r="B200" s="16"/>
      <c r="C200" s="17"/>
      <c r="D200" s="17"/>
      <c r="E200" s="16"/>
      <c r="F200" s="16"/>
      <c r="G200" s="16"/>
      <c r="H200" s="16"/>
      <c r="I200" s="17"/>
      <c r="J200" s="17"/>
      <c r="K200" s="17"/>
      <c r="L200" s="17"/>
      <c r="M200" s="17"/>
      <c r="N200" s="16"/>
      <c r="O200" s="16"/>
      <c r="P200" s="16"/>
      <c r="Q200" s="18"/>
      <c r="R200" s="18"/>
      <c r="S200" s="16"/>
      <c r="T200" s="16"/>
      <c r="U200" s="17"/>
    </row>
    <row r="201" spans="1:21" ht="16.05" customHeight="1" x14ac:dyDescent="0.3">
      <c r="A201" s="16"/>
      <c r="B201" s="16"/>
      <c r="C201" s="17"/>
      <c r="D201" s="17"/>
      <c r="E201" s="16"/>
      <c r="F201" s="16"/>
      <c r="G201" s="16"/>
      <c r="H201" s="16"/>
      <c r="I201" s="17"/>
      <c r="J201" s="17"/>
      <c r="K201" s="17"/>
      <c r="L201" s="17"/>
      <c r="M201" s="17"/>
      <c r="N201" s="16"/>
      <c r="O201" s="16"/>
      <c r="P201" s="16"/>
      <c r="Q201" s="18"/>
      <c r="R201" s="18"/>
      <c r="S201" s="16"/>
      <c r="T201" s="16"/>
      <c r="U201" s="17"/>
    </row>
    <row r="202" spans="1:21" ht="16.05" customHeight="1" x14ac:dyDescent="0.3">
      <c r="A202" s="16"/>
      <c r="B202" s="16"/>
      <c r="C202" s="17"/>
      <c r="D202" s="17"/>
      <c r="E202" s="16"/>
      <c r="F202" s="16"/>
      <c r="G202" s="16"/>
      <c r="H202" s="16"/>
      <c r="I202" s="17"/>
      <c r="J202" s="17"/>
      <c r="K202" s="17"/>
      <c r="L202" s="17"/>
      <c r="M202" s="17"/>
      <c r="N202" s="16"/>
      <c r="O202" s="16"/>
      <c r="P202" s="16"/>
      <c r="Q202" s="18"/>
      <c r="R202" s="18"/>
      <c r="S202" s="16"/>
      <c r="T202" s="16"/>
      <c r="U202" s="17"/>
    </row>
    <row r="203" spans="1:21" ht="16.05" customHeight="1" x14ac:dyDescent="0.3">
      <c r="A203" s="16"/>
      <c r="B203" s="16"/>
      <c r="C203" s="17"/>
      <c r="D203" s="17"/>
      <c r="E203" s="16"/>
      <c r="F203" s="16"/>
      <c r="G203" s="16"/>
      <c r="H203" s="16"/>
      <c r="I203" s="17"/>
      <c r="J203" s="17"/>
      <c r="K203" s="17"/>
      <c r="L203" s="17"/>
      <c r="M203" s="17"/>
      <c r="N203" s="16"/>
      <c r="O203" s="16"/>
      <c r="P203" s="16"/>
      <c r="Q203" s="18"/>
      <c r="R203" s="18"/>
      <c r="S203" s="16"/>
      <c r="T203" s="16"/>
      <c r="U203" s="17"/>
    </row>
    <row r="204" spans="1:21" ht="16.05" customHeight="1" x14ac:dyDescent="0.3">
      <c r="A204" s="16"/>
      <c r="B204" s="16"/>
      <c r="C204" s="17"/>
      <c r="D204" s="17"/>
      <c r="E204" s="16"/>
      <c r="F204" s="16"/>
      <c r="G204" s="16"/>
      <c r="H204" s="16"/>
      <c r="I204" s="17"/>
      <c r="J204" s="17"/>
      <c r="K204" s="17"/>
      <c r="L204" s="17"/>
      <c r="M204" s="17"/>
      <c r="N204" s="16"/>
      <c r="O204" s="16"/>
      <c r="P204" s="16"/>
      <c r="Q204" s="18"/>
      <c r="R204" s="18"/>
      <c r="S204" s="16"/>
      <c r="T204" s="16"/>
      <c r="U204" s="17"/>
    </row>
    <row r="205" spans="1:21" ht="16.05" customHeight="1" x14ac:dyDescent="0.3">
      <c r="A205" s="16"/>
      <c r="B205" s="16"/>
      <c r="C205" s="17"/>
      <c r="D205" s="17"/>
      <c r="E205" s="16"/>
      <c r="F205" s="16"/>
      <c r="G205" s="16"/>
      <c r="H205" s="16"/>
      <c r="I205" s="17"/>
      <c r="J205" s="17"/>
      <c r="K205" s="17"/>
      <c r="L205" s="17"/>
      <c r="M205" s="17"/>
      <c r="N205" s="16"/>
      <c r="O205" s="16"/>
      <c r="P205" s="16"/>
      <c r="Q205" s="18"/>
      <c r="R205" s="18"/>
      <c r="S205" s="16"/>
      <c r="T205" s="16"/>
      <c r="U205" s="17"/>
    </row>
    <row r="206" spans="1:21" ht="16.05" customHeight="1" x14ac:dyDescent="0.3">
      <c r="A206" s="16"/>
      <c r="B206" s="16"/>
      <c r="C206" s="17"/>
      <c r="D206" s="17"/>
      <c r="E206" s="16"/>
      <c r="F206" s="16"/>
      <c r="G206" s="16"/>
      <c r="H206" s="16"/>
      <c r="I206" s="17"/>
      <c r="J206" s="17"/>
      <c r="K206" s="17"/>
      <c r="L206" s="17"/>
      <c r="M206" s="17"/>
      <c r="N206" s="16"/>
      <c r="O206" s="16"/>
      <c r="P206" s="16"/>
      <c r="Q206" s="18"/>
      <c r="R206" s="18"/>
      <c r="S206" s="16"/>
      <c r="T206" s="16"/>
      <c r="U206" s="17"/>
    </row>
    <row r="207" spans="1:21" ht="16.05" customHeight="1" x14ac:dyDescent="0.3">
      <c r="A207" s="16"/>
      <c r="B207" s="16"/>
      <c r="C207" s="17"/>
      <c r="D207" s="17"/>
      <c r="E207" s="16"/>
      <c r="F207" s="16"/>
      <c r="G207" s="16"/>
      <c r="H207" s="16"/>
      <c r="I207" s="17"/>
      <c r="J207" s="17"/>
      <c r="K207" s="17"/>
      <c r="L207" s="17"/>
      <c r="M207" s="17"/>
      <c r="N207" s="16"/>
      <c r="O207" s="16"/>
      <c r="P207" s="16"/>
      <c r="Q207" s="18"/>
      <c r="R207" s="18"/>
      <c r="S207" s="16"/>
      <c r="T207" s="16"/>
      <c r="U207" s="17"/>
    </row>
    <row r="208" spans="1:21" ht="16.05" customHeight="1" x14ac:dyDescent="0.3">
      <c r="A208" s="16"/>
      <c r="B208" s="16"/>
      <c r="C208" s="17"/>
      <c r="D208" s="17"/>
      <c r="E208" s="16"/>
      <c r="F208" s="16"/>
      <c r="G208" s="16"/>
      <c r="H208" s="16"/>
      <c r="I208" s="17"/>
      <c r="J208" s="17"/>
      <c r="K208" s="17"/>
      <c r="L208" s="17"/>
      <c r="M208" s="17"/>
      <c r="N208" s="16"/>
      <c r="O208" s="16"/>
      <c r="P208" s="16"/>
      <c r="Q208" s="18"/>
      <c r="R208" s="18"/>
      <c r="S208" s="16"/>
      <c r="T208" s="16"/>
      <c r="U208" s="17"/>
    </row>
    <row r="209" spans="1:21" ht="16.05" customHeight="1" x14ac:dyDescent="0.3">
      <c r="A209" s="16"/>
      <c r="B209" s="16"/>
      <c r="C209" s="17"/>
      <c r="D209" s="17"/>
      <c r="E209" s="16"/>
      <c r="F209" s="16"/>
      <c r="G209" s="16"/>
      <c r="H209" s="16"/>
      <c r="I209" s="17"/>
      <c r="J209" s="17"/>
      <c r="K209" s="17"/>
      <c r="L209" s="17"/>
      <c r="M209" s="17"/>
      <c r="N209" s="16"/>
      <c r="O209" s="16"/>
      <c r="P209" s="16"/>
      <c r="Q209" s="18"/>
      <c r="R209" s="18"/>
      <c r="S209" s="16"/>
      <c r="T209" s="16"/>
      <c r="U209" s="17"/>
    </row>
    <row r="210" spans="1:21" ht="16.05" customHeight="1" x14ac:dyDescent="0.3">
      <c r="A210" s="16"/>
      <c r="B210" s="16"/>
      <c r="C210" s="17"/>
      <c r="D210" s="17"/>
      <c r="E210" s="16"/>
      <c r="F210" s="16"/>
      <c r="G210" s="16"/>
      <c r="H210" s="16"/>
      <c r="I210" s="17"/>
      <c r="J210" s="17"/>
      <c r="K210" s="17"/>
      <c r="L210" s="17"/>
      <c r="M210" s="17"/>
      <c r="N210" s="16"/>
      <c r="O210" s="16"/>
      <c r="P210" s="16"/>
      <c r="Q210" s="18"/>
      <c r="R210" s="18"/>
      <c r="S210" s="16"/>
      <c r="T210" s="16"/>
      <c r="U210" s="17"/>
    </row>
    <row r="211" spans="1:21" ht="16.05" customHeight="1" x14ac:dyDescent="0.3">
      <c r="A211" s="16"/>
      <c r="B211" s="16"/>
      <c r="C211" s="17"/>
      <c r="D211" s="17"/>
      <c r="E211" s="16"/>
      <c r="F211" s="16"/>
      <c r="G211" s="16"/>
      <c r="H211" s="16"/>
      <c r="I211" s="17"/>
      <c r="J211" s="17"/>
      <c r="K211" s="17"/>
      <c r="L211" s="17"/>
      <c r="M211" s="17"/>
      <c r="N211" s="16"/>
      <c r="O211" s="16"/>
      <c r="P211" s="16"/>
      <c r="Q211" s="18"/>
      <c r="R211" s="18"/>
      <c r="S211" s="16"/>
      <c r="T211" s="16"/>
      <c r="U211" s="17"/>
    </row>
    <row r="212" spans="1:21" ht="16.05" customHeight="1" x14ac:dyDescent="0.3">
      <c r="A212" s="16"/>
      <c r="B212" s="16"/>
      <c r="C212" s="17"/>
      <c r="D212" s="17"/>
      <c r="E212" s="16"/>
      <c r="F212" s="16"/>
      <c r="G212" s="16"/>
      <c r="H212" s="16"/>
      <c r="I212" s="17"/>
      <c r="J212" s="17"/>
      <c r="K212" s="17"/>
      <c r="L212" s="17"/>
      <c r="M212" s="17"/>
      <c r="N212" s="16"/>
      <c r="O212" s="16"/>
      <c r="P212" s="16"/>
      <c r="Q212" s="18"/>
      <c r="R212" s="18"/>
      <c r="S212" s="16"/>
      <c r="T212" s="16"/>
      <c r="U212" s="17"/>
    </row>
    <row r="213" spans="1:21" ht="16.05" customHeight="1" x14ac:dyDescent="0.3">
      <c r="A213" s="16"/>
      <c r="B213" s="16"/>
      <c r="C213" s="17"/>
      <c r="D213" s="17"/>
      <c r="E213" s="16"/>
      <c r="F213" s="16"/>
      <c r="G213" s="16"/>
      <c r="H213" s="16"/>
      <c r="I213" s="17"/>
      <c r="J213" s="17"/>
      <c r="K213" s="17"/>
      <c r="L213" s="17"/>
      <c r="M213" s="17"/>
      <c r="N213" s="16"/>
      <c r="O213" s="16"/>
      <c r="P213" s="16"/>
      <c r="Q213" s="18"/>
      <c r="R213" s="18"/>
      <c r="S213" s="16"/>
      <c r="T213" s="16"/>
      <c r="U213" s="17"/>
    </row>
    <row r="214" spans="1:21" ht="16.05" customHeight="1" x14ac:dyDescent="0.3">
      <c r="A214" s="16"/>
      <c r="B214" s="16"/>
      <c r="C214" s="17"/>
      <c r="D214" s="17"/>
      <c r="E214" s="16"/>
      <c r="F214" s="16"/>
      <c r="G214" s="16"/>
      <c r="H214" s="16"/>
      <c r="I214" s="17"/>
      <c r="J214" s="17"/>
      <c r="K214" s="17"/>
      <c r="L214" s="17"/>
      <c r="M214" s="17"/>
      <c r="N214" s="16"/>
      <c r="O214" s="16"/>
      <c r="P214" s="16"/>
      <c r="Q214" s="18"/>
      <c r="R214" s="18"/>
      <c r="S214" s="16"/>
      <c r="T214" s="16"/>
      <c r="U214" s="17"/>
    </row>
    <row r="215" spans="1:21" ht="16.05" customHeight="1" x14ac:dyDescent="0.3">
      <c r="A215" s="16"/>
      <c r="B215" s="16"/>
      <c r="C215" s="17"/>
      <c r="D215" s="17"/>
      <c r="E215" s="16"/>
      <c r="F215" s="16"/>
      <c r="G215" s="16"/>
      <c r="H215" s="16"/>
      <c r="I215" s="17"/>
      <c r="J215" s="17"/>
      <c r="K215" s="17"/>
      <c r="L215" s="17"/>
      <c r="M215" s="17"/>
      <c r="N215" s="16"/>
      <c r="O215" s="16"/>
      <c r="P215" s="16"/>
      <c r="Q215" s="18"/>
      <c r="R215" s="18"/>
      <c r="S215" s="16"/>
      <c r="T215" s="16"/>
      <c r="U215" s="17"/>
    </row>
    <row r="216" spans="1:21" ht="16.05" customHeight="1" x14ac:dyDescent="0.3">
      <c r="A216" s="16"/>
      <c r="B216" s="16"/>
      <c r="C216" s="17"/>
      <c r="D216" s="17"/>
      <c r="E216" s="16"/>
      <c r="F216" s="16"/>
      <c r="G216" s="16"/>
      <c r="H216" s="16"/>
      <c r="I216" s="17"/>
      <c r="J216" s="17"/>
      <c r="K216" s="17"/>
      <c r="L216" s="17"/>
      <c r="M216" s="17"/>
      <c r="N216" s="16"/>
      <c r="O216" s="16"/>
      <c r="P216" s="16"/>
      <c r="Q216" s="18"/>
      <c r="R216" s="18"/>
      <c r="S216" s="16"/>
      <c r="T216" s="16"/>
      <c r="U216" s="17"/>
    </row>
    <row r="217" spans="1:21" ht="16.05" customHeight="1" x14ac:dyDescent="0.3">
      <c r="A217" s="16"/>
      <c r="B217" s="16"/>
      <c r="C217" s="17"/>
      <c r="D217" s="17"/>
      <c r="E217" s="16"/>
      <c r="F217" s="16"/>
      <c r="G217" s="16"/>
      <c r="H217" s="16"/>
      <c r="I217" s="17"/>
      <c r="J217" s="17"/>
      <c r="K217" s="17"/>
      <c r="L217" s="17"/>
      <c r="M217" s="17"/>
      <c r="N217" s="16"/>
      <c r="O217" s="16"/>
      <c r="P217" s="16"/>
      <c r="Q217" s="18"/>
      <c r="R217" s="18"/>
      <c r="S217" s="16"/>
      <c r="T217" s="16"/>
      <c r="U217" s="17"/>
    </row>
    <row r="218" spans="1:21" ht="16.05" customHeight="1" x14ac:dyDescent="0.3">
      <c r="A218" s="16"/>
      <c r="B218" s="16"/>
      <c r="C218" s="17"/>
      <c r="D218" s="17"/>
      <c r="E218" s="16"/>
      <c r="F218" s="16"/>
      <c r="G218" s="16"/>
      <c r="H218" s="16"/>
      <c r="I218" s="17"/>
      <c r="J218" s="17"/>
      <c r="K218" s="17"/>
      <c r="L218" s="17"/>
      <c r="M218" s="17"/>
      <c r="N218" s="16"/>
      <c r="O218" s="16"/>
      <c r="P218" s="16"/>
      <c r="Q218" s="18"/>
      <c r="R218" s="18"/>
      <c r="S218" s="16"/>
      <c r="T218" s="16"/>
      <c r="U218" s="17"/>
    </row>
    <row r="219" spans="1:21" ht="16.05" customHeight="1" x14ac:dyDescent="0.3">
      <c r="A219" s="16"/>
      <c r="B219" s="16"/>
      <c r="C219" s="17"/>
      <c r="D219" s="17"/>
      <c r="E219" s="16"/>
      <c r="F219" s="16"/>
      <c r="G219" s="16"/>
      <c r="H219" s="16"/>
      <c r="I219" s="17"/>
      <c r="J219" s="17"/>
      <c r="K219" s="17"/>
      <c r="L219" s="17"/>
      <c r="M219" s="17"/>
      <c r="N219" s="16"/>
      <c r="O219" s="16"/>
      <c r="P219" s="16"/>
      <c r="Q219" s="18"/>
      <c r="R219" s="18"/>
      <c r="S219" s="16"/>
      <c r="T219" s="16"/>
      <c r="U219" s="17"/>
    </row>
    <row r="220" spans="1:21" ht="16.05" customHeight="1" x14ac:dyDescent="0.3">
      <c r="A220" s="16"/>
      <c r="B220" s="16"/>
      <c r="C220" s="17"/>
      <c r="D220" s="17"/>
      <c r="E220" s="16"/>
      <c r="F220" s="16"/>
      <c r="G220" s="16"/>
      <c r="H220" s="16"/>
      <c r="I220" s="17"/>
      <c r="J220" s="17"/>
      <c r="K220" s="17"/>
      <c r="L220" s="17"/>
      <c r="M220" s="17"/>
      <c r="N220" s="16"/>
      <c r="O220" s="16"/>
      <c r="P220" s="16"/>
      <c r="Q220" s="18"/>
      <c r="R220" s="18"/>
      <c r="S220" s="16"/>
      <c r="T220" s="16"/>
      <c r="U220" s="17"/>
    </row>
    <row r="221" spans="1:21" ht="16.05" customHeight="1" x14ac:dyDescent="0.3">
      <c r="A221" s="16"/>
      <c r="B221" s="16"/>
      <c r="C221" s="17"/>
      <c r="D221" s="17"/>
      <c r="E221" s="16"/>
      <c r="F221" s="16"/>
      <c r="G221" s="16"/>
      <c r="H221" s="16"/>
      <c r="I221" s="17"/>
      <c r="J221" s="17"/>
      <c r="K221" s="17"/>
      <c r="L221" s="17"/>
      <c r="M221" s="17"/>
      <c r="N221" s="16"/>
      <c r="O221" s="16"/>
      <c r="P221" s="16"/>
      <c r="Q221" s="18"/>
      <c r="R221" s="18"/>
      <c r="S221" s="16"/>
      <c r="T221" s="16"/>
      <c r="U221" s="17"/>
    </row>
    <row r="222" spans="1:21" ht="16.05" customHeight="1" x14ac:dyDescent="0.3">
      <c r="A222" s="16"/>
      <c r="B222" s="16"/>
      <c r="C222" s="17"/>
      <c r="D222" s="17"/>
      <c r="E222" s="16"/>
      <c r="F222" s="16"/>
      <c r="G222" s="16"/>
      <c r="H222" s="16"/>
      <c r="I222" s="17"/>
      <c r="J222" s="17"/>
      <c r="K222" s="17"/>
      <c r="L222" s="17"/>
      <c r="M222" s="17"/>
      <c r="N222" s="16"/>
      <c r="O222" s="16"/>
      <c r="P222" s="16"/>
      <c r="Q222" s="18"/>
      <c r="R222" s="18"/>
      <c r="S222" s="16"/>
      <c r="T222" s="16"/>
      <c r="U222" s="17"/>
    </row>
    <row r="223" spans="1:21" ht="16.05" customHeight="1" x14ac:dyDescent="0.3">
      <c r="A223" s="16"/>
      <c r="B223" s="16"/>
      <c r="C223" s="17"/>
      <c r="D223" s="17"/>
      <c r="E223" s="16"/>
      <c r="F223" s="16"/>
      <c r="G223" s="16"/>
      <c r="H223" s="16"/>
      <c r="I223" s="17"/>
      <c r="J223" s="17"/>
      <c r="K223" s="17"/>
      <c r="L223" s="17"/>
      <c r="M223" s="17"/>
      <c r="N223" s="16"/>
      <c r="O223" s="16"/>
      <c r="P223" s="16"/>
      <c r="Q223" s="18"/>
      <c r="R223" s="18"/>
      <c r="S223" s="16"/>
      <c r="T223" s="16"/>
      <c r="U223" s="17"/>
    </row>
    <row r="224" spans="1:21" ht="16.05" customHeight="1" x14ac:dyDescent="0.3">
      <c r="A224" s="16"/>
      <c r="B224" s="16"/>
      <c r="C224" s="17"/>
      <c r="D224" s="17"/>
      <c r="E224" s="16"/>
      <c r="F224" s="16"/>
      <c r="G224" s="16"/>
      <c r="H224" s="16"/>
      <c r="I224" s="17"/>
      <c r="J224" s="17"/>
      <c r="K224" s="17"/>
      <c r="L224" s="17"/>
      <c r="M224" s="17"/>
      <c r="N224" s="16"/>
      <c r="O224" s="16"/>
      <c r="P224" s="16"/>
      <c r="Q224" s="18"/>
      <c r="R224" s="18"/>
      <c r="S224" s="16"/>
      <c r="T224" s="16"/>
      <c r="U224" s="17"/>
    </row>
    <row r="225" spans="1:21" ht="16.05" customHeight="1" x14ac:dyDescent="0.3">
      <c r="A225" s="16"/>
      <c r="B225" s="16"/>
      <c r="C225" s="17"/>
      <c r="D225" s="17"/>
      <c r="E225" s="16"/>
      <c r="F225" s="16"/>
      <c r="G225" s="16"/>
      <c r="H225" s="16"/>
      <c r="I225" s="17"/>
      <c r="J225" s="17"/>
      <c r="K225" s="17"/>
      <c r="L225" s="17"/>
      <c r="M225" s="17"/>
      <c r="N225" s="16"/>
      <c r="O225" s="16"/>
      <c r="P225" s="16"/>
      <c r="Q225" s="18"/>
      <c r="R225" s="18"/>
      <c r="S225" s="16"/>
      <c r="T225" s="16"/>
      <c r="U225" s="17"/>
    </row>
    <row r="226" spans="1:21" ht="16.05" customHeight="1" x14ac:dyDescent="0.3">
      <c r="A226" s="16"/>
      <c r="B226" s="16"/>
      <c r="C226" s="17"/>
      <c r="D226" s="17"/>
      <c r="E226" s="16"/>
      <c r="F226" s="16"/>
      <c r="G226" s="16"/>
      <c r="H226" s="16"/>
      <c r="I226" s="17"/>
      <c r="J226" s="17"/>
      <c r="K226" s="17"/>
      <c r="L226" s="17"/>
      <c r="M226" s="17"/>
      <c r="N226" s="16"/>
      <c r="O226" s="16"/>
      <c r="P226" s="16"/>
      <c r="Q226" s="18"/>
      <c r="R226" s="18"/>
      <c r="S226" s="16"/>
      <c r="T226" s="16"/>
      <c r="U226" s="17"/>
    </row>
    <row r="227" spans="1:21" ht="16.05" customHeight="1" x14ac:dyDescent="0.3">
      <c r="A227" s="16"/>
      <c r="B227" s="16"/>
      <c r="C227" s="17"/>
      <c r="D227" s="17"/>
      <c r="E227" s="16"/>
      <c r="F227" s="16"/>
      <c r="G227" s="16"/>
      <c r="H227" s="16"/>
      <c r="I227" s="17"/>
      <c r="J227" s="17"/>
      <c r="K227" s="17"/>
      <c r="L227" s="17"/>
      <c r="M227" s="17"/>
      <c r="N227" s="16"/>
      <c r="O227" s="16"/>
      <c r="P227" s="16"/>
      <c r="Q227" s="18"/>
      <c r="R227" s="18"/>
      <c r="S227" s="16"/>
      <c r="T227" s="16"/>
      <c r="U227" s="17"/>
    </row>
    <row r="228" spans="1:21" ht="16.05" customHeight="1" x14ac:dyDescent="0.3">
      <c r="A228" s="16"/>
      <c r="B228" s="16"/>
      <c r="C228" s="17"/>
      <c r="D228" s="17"/>
      <c r="E228" s="16"/>
      <c r="F228" s="16"/>
      <c r="G228" s="16"/>
      <c r="H228" s="16"/>
      <c r="I228" s="17"/>
      <c r="J228" s="17"/>
      <c r="K228" s="17"/>
      <c r="L228" s="17"/>
      <c r="M228" s="17"/>
      <c r="N228" s="16"/>
      <c r="O228" s="16"/>
      <c r="P228" s="16"/>
      <c r="Q228" s="18"/>
      <c r="R228" s="18"/>
      <c r="S228" s="16"/>
      <c r="T228" s="16"/>
      <c r="U228" s="17"/>
    </row>
    <row r="229" spans="1:21" ht="16.05" customHeight="1" x14ac:dyDescent="0.3">
      <c r="A229" s="16"/>
      <c r="B229" s="16"/>
      <c r="C229" s="17"/>
      <c r="D229" s="17"/>
      <c r="E229" s="16"/>
      <c r="F229" s="16"/>
      <c r="G229" s="16"/>
      <c r="H229" s="16"/>
      <c r="I229" s="17"/>
      <c r="J229" s="17"/>
      <c r="K229" s="17"/>
      <c r="L229" s="17"/>
      <c r="M229" s="17"/>
      <c r="N229" s="16"/>
      <c r="O229" s="16"/>
      <c r="P229" s="16"/>
      <c r="Q229" s="18"/>
      <c r="R229" s="18"/>
      <c r="S229" s="16"/>
      <c r="T229" s="16"/>
      <c r="U229" s="17"/>
    </row>
    <row r="230" spans="1:21" ht="16.05" customHeight="1" x14ac:dyDescent="0.3">
      <c r="A230" s="16"/>
      <c r="B230" s="16"/>
      <c r="C230" s="17"/>
      <c r="D230" s="17"/>
      <c r="E230" s="16"/>
      <c r="F230" s="16"/>
      <c r="G230" s="16"/>
      <c r="H230" s="16"/>
      <c r="I230" s="17"/>
      <c r="J230" s="17"/>
      <c r="K230" s="17"/>
      <c r="L230" s="17"/>
      <c r="M230" s="17"/>
      <c r="N230" s="16"/>
      <c r="O230" s="16"/>
      <c r="P230" s="16"/>
      <c r="Q230" s="18"/>
      <c r="R230" s="18"/>
      <c r="S230" s="16"/>
      <c r="T230" s="16"/>
      <c r="U230" s="17"/>
    </row>
    <row r="231" spans="1:21" ht="16.05" customHeight="1" x14ac:dyDescent="0.3">
      <c r="A231" s="16"/>
      <c r="B231" s="16"/>
      <c r="C231" s="17"/>
      <c r="D231" s="17"/>
      <c r="E231" s="16"/>
      <c r="F231" s="16"/>
      <c r="G231" s="16"/>
      <c r="H231" s="16"/>
      <c r="I231" s="17"/>
      <c r="J231" s="17"/>
      <c r="K231" s="17"/>
      <c r="L231" s="17"/>
      <c r="M231" s="17"/>
      <c r="N231" s="16"/>
      <c r="O231" s="16"/>
      <c r="P231" s="16"/>
      <c r="Q231" s="18"/>
      <c r="R231" s="18"/>
      <c r="S231" s="16"/>
      <c r="T231" s="16"/>
      <c r="U231" s="17"/>
    </row>
    <row r="232" spans="1:21" ht="16.05" customHeight="1" x14ac:dyDescent="0.3">
      <c r="A232" s="16"/>
      <c r="B232" s="16"/>
      <c r="C232" s="17"/>
      <c r="D232" s="17"/>
      <c r="E232" s="16"/>
      <c r="F232" s="16"/>
      <c r="G232" s="16"/>
      <c r="H232" s="16"/>
      <c r="I232" s="17"/>
      <c r="J232" s="17"/>
      <c r="K232" s="17"/>
      <c r="L232" s="17"/>
      <c r="M232" s="17"/>
      <c r="N232" s="16"/>
      <c r="O232" s="16"/>
      <c r="P232" s="16"/>
      <c r="Q232" s="18"/>
      <c r="R232" s="18"/>
      <c r="S232" s="16"/>
      <c r="T232" s="16"/>
      <c r="U232" s="17"/>
    </row>
    <row r="233" spans="1:21" ht="16.05" customHeight="1" x14ac:dyDescent="0.3">
      <c r="A233" s="16"/>
      <c r="B233" s="16"/>
      <c r="C233" s="17"/>
      <c r="D233" s="17"/>
      <c r="E233" s="16"/>
      <c r="F233" s="16"/>
      <c r="G233" s="16"/>
      <c r="H233" s="16"/>
      <c r="I233" s="17"/>
      <c r="J233" s="17"/>
      <c r="K233" s="17"/>
      <c r="L233" s="17"/>
      <c r="M233" s="17"/>
      <c r="N233" s="16"/>
      <c r="O233" s="16"/>
      <c r="P233" s="16"/>
      <c r="Q233" s="18"/>
      <c r="R233" s="18"/>
      <c r="S233" s="16"/>
      <c r="T233" s="16"/>
      <c r="U233" s="17"/>
    </row>
    <row r="234" spans="1:21" ht="16.05" customHeight="1" x14ac:dyDescent="0.3">
      <c r="A234" s="16"/>
      <c r="B234" s="16"/>
      <c r="C234" s="17"/>
      <c r="D234" s="17"/>
      <c r="E234" s="16"/>
      <c r="F234" s="16"/>
      <c r="G234" s="16"/>
      <c r="H234" s="16"/>
      <c r="I234" s="17"/>
      <c r="J234" s="17"/>
      <c r="K234" s="17"/>
      <c r="L234" s="17"/>
      <c r="M234" s="17"/>
      <c r="N234" s="16"/>
      <c r="O234" s="16"/>
      <c r="P234" s="16"/>
      <c r="Q234" s="18"/>
      <c r="R234" s="18"/>
      <c r="S234" s="16"/>
      <c r="T234" s="16"/>
      <c r="U234" s="17"/>
    </row>
    <row r="235" spans="1:21" ht="16.05" customHeight="1" x14ac:dyDescent="0.3">
      <c r="A235" s="16"/>
      <c r="B235" s="16"/>
      <c r="C235" s="17"/>
      <c r="D235" s="17"/>
      <c r="E235" s="16"/>
      <c r="F235" s="16"/>
      <c r="G235" s="16"/>
      <c r="H235" s="16"/>
      <c r="I235" s="17"/>
      <c r="J235" s="17"/>
      <c r="K235" s="17"/>
      <c r="L235" s="17"/>
      <c r="M235" s="17"/>
      <c r="N235" s="16"/>
      <c r="O235" s="16"/>
      <c r="P235" s="16"/>
      <c r="Q235" s="18"/>
      <c r="R235" s="18"/>
      <c r="S235" s="16"/>
      <c r="T235" s="16"/>
      <c r="U235" s="17"/>
    </row>
    <row r="236" spans="1:21" ht="16.05" customHeight="1" x14ac:dyDescent="0.3">
      <c r="A236" s="16"/>
      <c r="B236" s="16"/>
      <c r="C236" s="17"/>
      <c r="D236" s="17"/>
      <c r="E236" s="16"/>
      <c r="F236" s="16"/>
      <c r="G236" s="16"/>
      <c r="H236" s="16"/>
      <c r="I236" s="17"/>
      <c r="J236" s="17"/>
      <c r="K236" s="17"/>
      <c r="L236" s="17"/>
      <c r="M236" s="17"/>
      <c r="N236" s="16"/>
      <c r="O236" s="16"/>
      <c r="P236" s="16"/>
      <c r="Q236" s="18"/>
      <c r="R236" s="18"/>
      <c r="S236" s="16"/>
      <c r="T236" s="16"/>
      <c r="U236" s="17"/>
    </row>
    <row r="237" spans="1:21" ht="16.05" customHeight="1" x14ac:dyDescent="0.3">
      <c r="A237" s="16"/>
      <c r="B237" s="16"/>
      <c r="C237" s="17"/>
      <c r="D237" s="17"/>
      <c r="E237" s="16"/>
      <c r="F237" s="16"/>
      <c r="G237" s="16"/>
      <c r="H237" s="16"/>
      <c r="I237" s="17"/>
      <c r="J237" s="17"/>
      <c r="K237" s="17"/>
      <c r="L237" s="17"/>
      <c r="M237" s="17"/>
      <c r="N237" s="16"/>
      <c r="O237" s="16"/>
      <c r="P237" s="16"/>
      <c r="Q237" s="18"/>
      <c r="R237" s="18"/>
      <c r="S237" s="16"/>
      <c r="T237" s="16"/>
      <c r="U237" s="17"/>
    </row>
    <row r="238" spans="1:21" ht="16.05" customHeight="1" x14ac:dyDescent="0.3">
      <c r="A238" s="16"/>
      <c r="B238" s="16"/>
      <c r="C238" s="17"/>
      <c r="D238" s="17"/>
      <c r="E238" s="16"/>
      <c r="F238" s="16"/>
      <c r="G238" s="16"/>
      <c r="H238" s="16"/>
      <c r="I238" s="17"/>
      <c r="J238" s="17"/>
      <c r="K238" s="17"/>
      <c r="L238" s="17"/>
      <c r="M238" s="17"/>
      <c r="N238" s="16"/>
      <c r="O238" s="16"/>
      <c r="P238" s="16"/>
      <c r="Q238" s="18"/>
      <c r="R238" s="18"/>
      <c r="S238" s="16"/>
      <c r="T238" s="16"/>
      <c r="U238" s="17"/>
    </row>
    <row r="239" spans="1:21" ht="16.05" customHeight="1" x14ac:dyDescent="0.3">
      <c r="A239" s="16"/>
      <c r="B239" s="16"/>
      <c r="C239" s="17"/>
      <c r="D239" s="17"/>
      <c r="E239" s="16"/>
      <c r="F239" s="16"/>
      <c r="G239" s="16"/>
      <c r="H239" s="16"/>
      <c r="I239" s="17"/>
      <c r="J239" s="17"/>
      <c r="K239" s="17"/>
      <c r="L239" s="17"/>
      <c r="M239" s="17"/>
      <c r="N239" s="16"/>
      <c r="O239" s="16"/>
      <c r="P239" s="16"/>
      <c r="Q239" s="18"/>
      <c r="R239" s="18"/>
      <c r="S239" s="16"/>
      <c r="T239" s="16"/>
      <c r="U239" s="17"/>
    </row>
    <row r="240" spans="1:21" ht="16.05" customHeight="1" x14ac:dyDescent="0.3">
      <c r="A240" s="16"/>
      <c r="B240" s="16"/>
      <c r="C240" s="17"/>
      <c r="D240" s="17"/>
      <c r="E240" s="16"/>
      <c r="F240" s="16"/>
      <c r="G240" s="16"/>
      <c r="H240" s="16"/>
      <c r="I240" s="17"/>
      <c r="J240" s="17"/>
      <c r="K240" s="17"/>
      <c r="L240" s="17"/>
      <c r="M240" s="17"/>
      <c r="N240" s="16"/>
      <c r="O240" s="16"/>
      <c r="P240" s="16"/>
      <c r="Q240" s="18"/>
      <c r="R240" s="18"/>
      <c r="S240" s="16"/>
      <c r="T240" s="16"/>
      <c r="U240" s="17"/>
    </row>
    <row r="241" spans="1:21" ht="16.05" customHeight="1" x14ac:dyDescent="0.3">
      <c r="A241" s="16"/>
      <c r="B241" s="16"/>
      <c r="C241" s="17"/>
      <c r="D241" s="17"/>
      <c r="E241" s="16"/>
      <c r="F241" s="16"/>
      <c r="G241" s="16"/>
      <c r="H241" s="16"/>
      <c r="I241" s="17"/>
      <c r="J241" s="17"/>
      <c r="K241" s="17"/>
      <c r="L241" s="17"/>
      <c r="M241" s="17"/>
      <c r="N241" s="16"/>
      <c r="O241" s="16"/>
      <c r="P241" s="16"/>
      <c r="Q241" s="18"/>
      <c r="R241" s="18"/>
      <c r="S241" s="16"/>
      <c r="T241" s="16"/>
      <c r="U241" s="17"/>
    </row>
    <row r="242" spans="1:21" ht="16.05" customHeight="1" x14ac:dyDescent="0.3">
      <c r="A242" s="16"/>
      <c r="B242" s="16"/>
      <c r="C242" s="17"/>
      <c r="D242" s="17"/>
      <c r="E242" s="16"/>
      <c r="F242" s="16"/>
      <c r="G242" s="16"/>
      <c r="H242" s="16"/>
      <c r="I242" s="17"/>
      <c r="J242" s="17"/>
      <c r="K242" s="17"/>
      <c r="L242" s="17"/>
      <c r="M242" s="17"/>
      <c r="N242" s="16"/>
      <c r="O242" s="16"/>
      <c r="P242" s="16"/>
      <c r="Q242" s="18"/>
      <c r="R242" s="18"/>
      <c r="S242" s="16"/>
      <c r="T242" s="16"/>
      <c r="U242" s="17"/>
    </row>
    <row r="243" spans="1:21" ht="16.05" customHeight="1" x14ac:dyDescent="0.3">
      <c r="A243" s="16"/>
      <c r="B243" s="16"/>
      <c r="C243" s="17"/>
      <c r="D243" s="17"/>
      <c r="E243" s="16"/>
      <c r="F243" s="16"/>
      <c r="G243" s="16"/>
      <c r="H243" s="16"/>
      <c r="I243" s="17"/>
      <c r="J243" s="17"/>
      <c r="K243" s="17"/>
      <c r="L243" s="17"/>
      <c r="M243" s="17"/>
      <c r="N243" s="16"/>
      <c r="O243" s="16"/>
      <c r="P243" s="16"/>
      <c r="Q243" s="18"/>
      <c r="R243" s="18"/>
      <c r="S243" s="16"/>
      <c r="T243" s="16"/>
      <c r="U243" s="17"/>
    </row>
    <row r="244" spans="1:21" ht="16.05" customHeight="1" x14ac:dyDescent="0.3">
      <c r="A244" s="16"/>
      <c r="B244" s="16"/>
      <c r="C244" s="17"/>
      <c r="D244" s="17"/>
      <c r="E244" s="16"/>
      <c r="F244" s="16"/>
      <c r="G244" s="16"/>
      <c r="H244" s="16"/>
      <c r="I244" s="17"/>
      <c r="J244" s="17"/>
      <c r="K244" s="17"/>
      <c r="L244" s="17"/>
      <c r="M244" s="17"/>
      <c r="N244" s="16"/>
      <c r="O244" s="16"/>
      <c r="P244" s="16"/>
      <c r="Q244" s="18"/>
      <c r="R244" s="18"/>
      <c r="S244" s="16"/>
      <c r="T244" s="16"/>
      <c r="U244" s="17"/>
    </row>
    <row r="245" spans="1:21" ht="16.05" customHeight="1" x14ac:dyDescent="0.3">
      <c r="A245" s="16"/>
      <c r="B245" s="16"/>
      <c r="C245" s="17"/>
      <c r="D245" s="17"/>
      <c r="E245" s="16"/>
      <c r="F245" s="16"/>
      <c r="G245" s="16"/>
      <c r="H245" s="16"/>
      <c r="I245" s="17"/>
      <c r="J245" s="17"/>
      <c r="K245" s="17"/>
      <c r="L245" s="17"/>
      <c r="M245" s="17"/>
      <c r="N245" s="16"/>
      <c r="O245" s="16"/>
      <c r="P245" s="16"/>
      <c r="Q245" s="18"/>
      <c r="R245" s="18"/>
      <c r="S245" s="16"/>
      <c r="T245" s="16"/>
      <c r="U245" s="17"/>
    </row>
    <row r="246" spans="1:21" ht="16.05" customHeight="1" x14ac:dyDescent="0.3">
      <c r="A246" s="16"/>
      <c r="B246" s="16"/>
      <c r="C246" s="17"/>
      <c r="D246" s="17"/>
      <c r="E246" s="16"/>
      <c r="F246" s="16"/>
      <c r="G246" s="16"/>
      <c r="H246" s="16"/>
      <c r="I246" s="17"/>
      <c r="J246" s="17"/>
      <c r="K246" s="17"/>
      <c r="L246" s="17"/>
      <c r="M246" s="17"/>
      <c r="N246" s="16"/>
      <c r="O246" s="16"/>
      <c r="P246" s="16"/>
      <c r="Q246" s="18"/>
      <c r="R246" s="18"/>
      <c r="S246" s="16"/>
      <c r="T246" s="16"/>
      <c r="U246" s="17"/>
    </row>
    <row r="247" spans="1:21" ht="16.05" customHeight="1" x14ac:dyDescent="0.3">
      <c r="A247" s="16"/>
      <c r="B247" s="16"/>
      <c r="C247" s="17"/>
      <c r="D247" s="17"/>
      <c r="E247" s="16"/>
      <c r="F247" s="16"/>
      <c r="G247" s="16"/>
      <c r="H247" s="16"/>
      <c r="I247" s="17"/>
      <c r="J247" s="17"/>
      <c r="K247" s="17"/>
      <c r="L247" s="17"/>
      <c r="M247" s="17"/>
      <c r="N247" s="16"/>
      <c r="O247" s="16"/>
      <c r="P247" s="16"/>
      <c r="Q247" s="18"/>
      <c r="R247" s="18"/>
      <c r="S247" s="16"/>
      <c r="T247" s="16"/>
      <c r="U247" s="17"/>
    </row>
    <row r="248" spans="1:21" ht="16.05" customHeight="1" x14ac:dyDescent="0.3">
      <c r="A248" s="16"/>
      <c r="B248" s="16"/>
      <c r="C248" s="17"/>
      <c r="D248" s="17"/>
      <c r="E248" s="16"/>
      <c r="F248" s="16"/>
      <c r="G248" s="16"/>
      <c r="H248" s="16"/>
      <c r="I248" s="17"/>
      <c r="J248" s="17"/>
      <c r="K248" s="17"/>
      <c r="L248" s="17"/>
      <c r="M248" s="17"/>
      <c r="N248" s="16"/>
      <c r="O248" s="16"/>
      <c r="P248" s="16"/>
      <c r="Q248" s="18"/>
      <c r="R248" s="18"/>
      <c r="S248" s="16"/>
      <c r="T248" s="16"/>
      <c r="U248" s="17"/>
    </row>
    <row r="249" spans="1:21" ht="16.05" customHeight="1" x14ac:dyDescent="0.3">
      <c r="A249" s="16"/>
      <c r="B249" s="16"/>
      <c r="C249" s="17"/>
      <c r="D249" s="17"/>
      <c r="E249" s="16"/>
      <c r="F249" s="16"/>
      <c r="G249" s="16"/>
      <c r="H249" s="16"/>
      <c r="I249" s="17"/>
      <c r="J249" s="17"/>
      <c r="K249" s="17"/>
      <c r="L249" s="17"/>
      <c r="M249" s="17"/>
      <c r="N249" s="16"/>
      <c r="O249" s="16"/>
      <c r="P249" s="16"/>
      <c r="Q249" s="18"/>
      <c r="R249" s="18"/>
      <c r="S249" s="16"/>
      <c r="T249" s="16"/>
      <c r="U249" s="17"/>
    </row>
    <row r="250" spans="1:21" ht="16.05" customHeight="1" x14ac:dyDescent="0.3">
      <c r="A250" s="16"/>
      <c r="B250" s="16"/>
      <c r="C250" s="17"/>
      <c r="D250" s="17"/>
      <c r="E250" s="16"/>
      <c r="F250" s="16"/>
      <c r="G250" s="16"/>
      <c r="H250" s="16"/>
      <c r="I250" s="17"/>
      <c r="J250" s="17"/>
      <c r="K250" s="17"/>
      <c r="L250" s="17"/>
      <c r="M250" s="17"/>
      <c r="N250" s="16"/>
      <c r="O250" s="16"/>
      <c r="P250" s="16"/>
      <c r="Q250" s="18"/>
      <c r="R250" s="18"/>
      <c r="S250" s="16"/>
      <c r="T250" s="16"/>
      <c r="U250" s="17"/>
    </row>
    <row r="251" spans="1:21" ht="16.05" customHeight="1" x14ac:dyDescent="0.3">
      <c r="A251" s="16"/>
      <c r="B251" s="16"/>
      <c r="C251" s="17"/>
      <c r="D251" s="17"/>
      <c r="E251" s="16"/>
      <c r="F251" s="16"/>
      <c r="G251" s="16"/>
      <c r="H251" s="16"/>
      <c r="I251" s="17"/>
      <c r="J251" s="17"/>
      <c r="K251" s="17"/>
      <c r="L251" s="17"/>
      <c r="M251" s="17"/>
      <c r="N251" s="16"/>
      <c r="O251" s="16"/>
      <c r="P251" s="16"/>
      <c r="Q251" s="18"/>
      <c r="R251" s="18"/>
      <c r="S251" s="16"/>
      <c r="T251" s="16"/>
      <c r="U251" s="17"/>
    </row>
    <row r="252" spans="1:21" ht="16.05" customHeight="1" x14ac:dyDescent="0.3">
      <c r="A252" s="16"/>
      <c r="B252" s="16"/>
      <c r="C252" s="17"/>
      <c r="D252" s="17"/>
      <c r="E252" s="16"/>
      <c r="F252" s="16"/>
      <c r="G252" s="16"/>
      <c r="H252" s="16"/>
      <c r="I252" s="17"/>
      <c r="J252" s="17"/>
      <c r="K252" s="17"/>
      <c r="L252" s="17"/>
      <c r="M252" s="17"/>
      <c r="N252" s="16"/>
      <c r="O252" s="16"/>
      <c r="P252" s="16"/>
      <c r="Q252" s="18"/>
      <c r="R252" s="18"/>
      <c r="S252" s="16"/>
      <c r="T252" s="16"/>
      <c r="U252" s="17"/>
    </row>
    <row r="253" spans="1:21" ht="16.05" customHeight="1" x14ac:dyDescent="0.3">
      <c r="A253" s="16"/>
      <c r="B253" s="16"/>
      <c r="C253" s="17"/>
      <c r="D253" s="17"/>
      <c r="E253" s="16"/>
      <c r="F253" s="16"/>
      <c r="G253" s="16"/>
      <c r="H253" s="16"/>
      <c r="I253" s="17"/>
      <c r="J253" s="17"/>
      <c r="K253" s="17"/>
      <c r="L253" s="17"/>
      <c r="M253" s="17"/>
      <c r="N253" s="16"/>
      <c r="O253" s="16"/>
      <c r="P253" s="16"/>
      <c r="Q253" s="18"/>
      <c r="R253" s="18"/>
      <c r="S253" s="16"/>
      <c r="T253" s="16"/>
      <c r="U253" s="17"/>
    </row>
    <row r="254" spans="1:21" ht="16.05" customHeight="1" x14ac:dyDescent="0.3">
      <c r="A254" s="16"/>
      <c r="B254" s="16"/>
      <c r="C254" s="17"/>
      <c r="D254" s="17"/>
      <c r="E254" s="16"/>
      <c r="F254" s="16"/>
      <c r="G254" s="16"/>
      <c r="H254" s="16"/>
      <c r="I254" s="17"/>
      <c r="J254" s="17"/>
      <c r="K254" s="17"/>
      <c r="L254" s="17"/>
      <c r="M254" s="17"/>
      <c r="N254" s="16"/>
      <c r="O254" s="16"/>
      <c r="P254" s="16"/>
      <c r="Q254" s="18"/>
      <c r="R254" s="18"/>
      <c r="S254" s="16"/>
      <c r="T254" s="16"/>
      <c r="U254" s="17"/>
    </row>
    <row r="255" spans="1:21" ht="16.05" customHeight="1" x14ac:dyDescent="0.3">
      <c r="A255" s="16"/>
      <c r="B255" s="16"/>
      <c r="C255" s="17"/>
      <c r="D255" s="17"/>
      <c r="E255" s="16"/>
      <c r="F255" s="16"/>
      <c r="G255" s="16"/>
      <c r="H255" s="16"/>
      <c r="I255" s="17"/>
      <c r="J255" s="17"/>
      <c r="K255" s="17"/>
      <c r="L255" s="17"/>
      <c r="M255" s="17"/>
      <c r="N255" s="16"/>
      <c r="O255" s="16"/>
      <c r="P255" s="16"/>
      <c r="Q255" s="18"/>
      <c r="R255" s="18"/>
      <c r="S255" s="16"/>
      <c r="T255" s="16"/>
      <c r="U255" s="17"/>
    </row>
    <row r="256" spans="1:21" ht="16.05" customHeight="1" x14ac:dyDescent="0.3">
      <c r="A256" s="16"/>
      <c r="B256" s="16"/>
      <c r="C256" s="17"/>
      <c r="D256" s="17"/>
      <c r="E256" s="16"/>
      <c r="F256" s="16"/>
      <c r="G256" s="16"/>
      <c r="H256" s="16"/>
      <c r="I256" s="17"/>
      <c r="J256" s="17"/>
      <c r="K256" s="17"/>
      <c r="L256" s="17"/>
      <c r="M256" s="17"/>
      <c r="N256" s="16"/>
      <c r="O256" s="16"/>
      <c r="P256" s="16"/>
      <c r="Q256" s="18"/>
      <c r="R256" s="18"/>
      <c r="S256" s="16"/>
      <c r="T256" s="16"/>
      <c r="U256" s="17"/>
    </row>
    <row r="257" spans="1:21" ht="16.05" customHeight="1" x14ac:dyDescent="0.3">
      <c r="A257" s="16"/>
      <c r="B257" s="16"/>
      <c r="C257" s="17"/>
      <c r="D257" s="17"/>
      <c r="E257" s="16"/>
      <c r="F257" s="16"/>
      <c r="G257" s="16"/>
      <c r="H257" s="16"/>
      <c r="I257" s="17"/>
      <c r="J257" s="17"/>
      <c r="K257" s="17"/>
      <c r="L257" s="17"/>
      <c r="M257" s="17"/>
      <c r="N257" s="16"/>
      <c r="O257" s="16"/>
      <c r="P257" s="16"/>
      <c r="Q257" s="18"/>
      <c r="R257" s="18"/>
      <c r="S257" s="16"/>
      <c r="T257" s="16"/>
      <c r="U257" s="17"/>
    </row>
    <row r="258" spans="1:21" ht="16.05" customHeight="1" x14ac:dyDescent="0.3">
      <c r="A258" s="16"/>
      <c r="B258" s="16"/>
      <c r="C258" s="17"/>
      <c r="D258" s="17"/>
      <c r="E258" s="16"/>
      <c r="F258" s="16"/>
      <c r="G258" s="16"/>
      <c r="H258" s="16"/>
      <c r="I258" s="17"/>
      <c r="J258" s="17"/>
      <c r="K258" s="17"/>
      <c r="L258" s="17"/>
      <c r="M258" s="17"/>
      <c r="N258" s="16"/>
      <c r="O258" s="16"/>
      <c r="P258" s="16"/>
      <c r="Q258" s="18"/>
      <c r="R258" s="18"/>
      <c r="S258" s="16"/>
      <c r="T258" s="16"/>
      <c r="U258" s="17"/>
    </row>
    <row r="259" spans="1:21" ht="16.05" customHeight="1" x14ac:dyDescent="0.3">
      <c r="A259" s="16"/>
      <c r="B259" s="16"/>
      <c r="C259" s="17"/>
      <c r="D259" s="17"/>
      <c r="E259" s="16"/>
      <c r="F259" s="16"/>
      <c r="G259" s="16"/>
      <c r="H259" s="16"/>
      <c r="I259" s="17"/>
      <c r="J259" s="17"/>
      <c r="K259" s="17"/>
      <c r="L259" s="17"/>
      <c r="M259" s="17"/>
      <c r="N259" s="16"/>
      <c r="O259" s="16"/>
      <c r="P259" s="16"/>
      <c r="Q259" s="18"/>
      <c r="R259" s="18"/>
      <c r="S259" s="16"/>
      <c r="T259" s="16"/>
      <c r="U259" s="17"/>
    </row>
    <row r="260" spans="1:21" ht="16.05" customHeight="1" x14ac:dyDescent="0.3">
      <c r="A260" s="16"/>
      <c r="B260" s="16"/>
      <c r="C260" s="17"/>
      <c r="D260" s="17"/>
      <c r="E260" s="16"/>
      <c r="F260" s="16"/>
      <c r="G260" s="16"/>
      <c r="H260" s="16"/>
      <c r="I260" s="17"/>
      <c r="J260" s="17"/>
      <c r="K260" s="17"/>
      <c r="L260" s="17"/>
      <c r="M260" s="17"/>
      <c r="N260" s="16"/>
      <c r="O260" s="16"/>
      <c r="P260" s="16"/>
      <c r="Q260" s="18"/>
      <c r="R260" s="18"/>
      <c r="S260" s="16"/>
      <c r="T260" s="16"/>
      <c r="U260" s="17"/>
    </row>
    <row r="261" spans="1:21" ht="16.05" customHeight="1" x14ac:dyDescent="0.3">
      <c r="A261" s="16"/>
      <c r="B261" s="16"/>
      <c r="C261" s="17"/>
      <c r="D261" s="17"/>
      <c r="E261" s="16"/>
      <c r="F261" s="16"/>
      <c r="G261" s="16"/>
      <c r="H261" s="16"/>
      <c r="I261" s="17"/>
      <c r="J261" s="17"/>
      <c r="K261" s="17"/>
      <c r="L261" s="17"/>
      <c r="M261" s="17"/>
      <c r="N261" s="16"/>
      <c r="O261" s="16"/>
      <c r="P261" s="16"/>
      <c r="Q261" s="18"/>
      <c r="R261" s="18"/>
      <c r="S261" s="16"/>
      <c r="T261" s="16"/>
      <c r="U261" s="17"/>
    </row>
    <row r="262" spans="1:21" ht="16.05" customHeight="1" x14ac:dyDescent="0.3">
      <c r="A262" s="16"/>
      <c r="B262" s="16"/>
      <c r="C262" s="17"/>
      <c r="D262" s="17"/>
      <c r="E262" s="16"/>
      <c r="F262" s="16"/>
      <c r="G262" s="16"/>
      <c r="H262" s="16"/>
      <c r="I262" s="17"/>
      <c r="J262" s="17"/>
      <c r="K262" s="17"/>
      <c r="L262" s="17"/>
      <c r="M262" s="17"/>
      <c r="N262" s="16"/>
      <c r="O262" s="16"/>
      <c r="P262" s="16"/>
      <c r="Q262" s="18"/>
      <c r="R262" s="18"/>
      <c r="S262" s="16"/>
      <c r="T262" s="16"/>
      <c r="U262" s="17"/>
    </row>
    <row r="263" spans="1:21" ht="16.05" customHeight="1" x14ac:dyDescent="0.3">
      <c r="A263" s="16"/>
      <c r="B263" s="16"/>
      <c r="C263" s="17"/>
      <c r="D263" s="17"/>
      <c r="E263" s="16"/>
      <c r="F263" s="16"/>
      <c r="G263" s="16"/>
      <c r="H263" s="16"/>
      <c r="I263" s="17"/>
      <c r="J263" s="17"/>
      <c r="K263" s="17"/>
      <c r="L263" s="17"/>
      <c r="M263" s="17"/>
      <c r="N263" s="16"/>
      <c r="O263" s="16"/>
      <c r="P263" s="16"/>
      <c r="Q263" s="18"/>
      <c r="R263" s="18"/>
      <c r="S263" s="16"/>
      <c r="T263" s="16"/>
      <c r="U263" s="17"/>
    </row>
    <row r="264" spans="1:21" ht="16.05" customHeight="1" x14ac:dyDescent="0.3">
      <c r="A264" s="16"/>
      <c r="B264" s="16"/>
      <c r="C264" s="17"/>
      <c r="D264" s="17"/>
      <c r="E264" s="16"/>
      <c r="F264" s="16"/>
      <c r="G264" s="16"/>
      <c r="H264" s="16"/>
      <c r="I264" s="17"/>
      <c r="J264" s="17"/>
      <c r="K264" s="17"/>
      <c r="L264" s="17"/>
      <c r="M264" s="17"/>
      <c r="N264" s="16"/>
      <c r="O264" s="16"/>
      <c r="P264" s="16"/>
      <c r="Q264" s="18"/>
      <c r="R264" s="18"/>
      <c r="S264" s="16"/>
      <c r="T264" s="16"/>
      <c r="U264" s="17"/>
    </row>
    <row r="265" spans="1:21" ht="16.05" customHeight="1" x14ac:dyDescent="0.3">
      <c r="A265" s="16"/>
      <c r="B265" s="16"/>
      <c r="C265" s="17"/>
      <c r="D265" s="17"/>
      <c r="E265" s="16"/>
      <c r="F265" s="16"/>
      <c r="G265" s="16"/>
      <c r="H265" s="16"/>
      <c r="I265" s="17"/>
      <c r="J265" s="17"/>
      <c r="K265" s="17"/>
      <c r="L265" s="17"/>
      <c r="M265" s="17"/>
      <c r="N265" s="16"/>
      <c r="O265" s="16"/>
      <c r="P265" s="16"/>
      <c r="Q265" s="18"/>
      <c r="R265" s="18"/>
      <c r="S265" s="16"/>
      <c r="T265" s="16"/>
      <c r="U265" s="17"/>
    </row>
    <row r="266" spans="1:21" ht="16.05" customHeight="1" x14ac:dyDescent="0.3">
      <c r="A266" s="16"/>
      <c r="B266" s="16"/>
      <c r="C266" s="17"/>
      <c r="D266" s="17"/>
      <c r="E266" s="16"/>
      <c r="F266" s="16"/>
      <c r="G266" s="16"/>
      <c r="H266" s="16"/>
      <c r="I266" s="17"/>
      <c r="J266" s="17"/>
      <c r="K266" s="17"/>
      <c r="L266" s="17"/>
      <c r="M266" s="17"/>
      <c r="N266" s="16"/>
      <c r="O266" s="16"/>
      <c r="P266" s="16"/>
      <c r="Q266" s="18"/>
      <c r="R266" s="18"/>
      <c r="S266" s="16"/>
      <c r="T266" s="16"/>
      <c r="U266" s="17"/>
    </row>
    <row r="267" spans="1:21" ht="16.05" customHeight="1" x14ac:dyDescent="0.3">
      <c r="A267" s="16"/>
      <c r="B267" s="16"/>
      <c r="C267" s="17"/>
      <c r="D267" s="17"/>
      <c r="E267" s="16"/>
      <c r="F267" s="16"/>
      <c r="G267" s="16"/>
      <c r="H267" s="16"/>
      <c r="I267" s="17"/>
      <c r="J267" s="17"/>
      <c r="K267" s="17"/>
      <c r="L267" s="17"/>
      <c r="M267" s="17"/>
      <c r="N267" s="16"/>
      <c r="O267" s="16"/>
      <c r="P267" s="16"/>
      <c r="Q267" s="18"/>
      <c r="R267" s="18"/>
      <c r="S267" s="16"/>
      <c r="T267" s="16"/>
      <c r="U267" s="17"/>
    </row>
    <row r="268" spans="1:21" ht="16.05" customHeight="1" x14ac:dyDescent="0.3">
      <c r="A268" s="16"/>
      <c r="B268" s="16"/>
      <c r="C268" s="17"/>
      <c r="D268" s="17"/>
      <c r="E268" s="16"/>
      <c r="F268" s="16"/>
      <c r="G268" s="16"/>
      <c r="H268" s="16"/>
      <c r="I268" s="17"/>
      <c r="J268" s="17"/>
      <c r="K268" s="17"/>
      <c r="L268" s="17"/>
      <c r="M268" s="17"/>
      <c r="N268" s="16"/>
      <c r="O268" s="16"/>
      <c r="P268" s="16"/>
      <c r="Q268" s="18"/>
      <c r="R268" s="18"/>
      <c r="S268" s="16"/>
      <c r="T268" s="16"/>
      <c r="U268" s="17"/>
    </row>
    <row r="269" spans="1:21" ht="16.05" customHeight="1" x14ac:dyDescent="0.3">
      <c r="A269" s="16"/>
      <c r="B269" s="16"/>
      <c r="C269" s="17"/>
      <c r="D269" s="17"/>
      <c r="E269" s="16"/>
      <c r="F269" s="16"/>
      <c r="G269" s="16"/>
      <c r="H269" s="16"/>
      <c r="I269" s="17"/>
      <c r="J269" s="17"/>
      <c r="K269" s="17"/>
      <c r="L269" s="17"/>
      <c r="M269" s="17"/>
      <c r="N269" s="16"/>
      <c r="O269" s="16"/>
      <c r="P269" s="16"/>
      <c r="Q269" s="18"/>
      <c r="R269" s="18"/>
      <c r="S269" s="16"/>
      <c r="T269" s="16"/>
      <c r="U269" s="17"/>
    </row>
    <row r="270" spans="1:21" ht="16.05" customHeight="1" x14ac:dyDescent="0.3">
      <c r="A270" s="16"/>
      <c r="B270" s="16"/>
      <c r="C270" s="17"/>
      <c r="D270" s="17"/>
      <c r="E270" s="16"/>
      <c r="F270" s="16"/>
      <c r="G270" s="16"/>
      <c r="H270" s="16"/>
      <c r="I270" s="17"/>
      <c r="J270" s="17"/>
      <c r="K270" s="17"/>
      <c r="L270" s="17"/>
      <c r="M270" s="17"/>
      <c r="N270" s="16"/>
      <c r="O270" s="16"/>
      <c r="P270" s="16"/>
      <c r="Q270" s="18"/>
      <c r="R270" s="18"/>
      <c r="S270" s="16"/>
      <c r="T270" s="16"/>
      <c r="U270" s="17"/>
    </row>
    <row r="271" spans="1:21" ht="16.05" customHeight="1" x14ac:dyDescent="0.3">
      <c r="A271" s="16"/>
      <c r="B271" s="16"/>
      <c r="C271" s="17"/>
      <c r="D271" s="17"/>
      <c r="E271" s="16"/>
      <c r="F271" s="16"/>
      <c r="G271" s="16"/>
      <c r="H271" s="16"/>
      <c r="I271" s="17"/>
      <c r="J271" s="17"/>
      <c r="K271" s="17"/>
      <c r="L271" s="17"/>
      <c r="M271" s="17"/>
      <c r="N271" s="16"/>
      <c r="O271" s="16"/>
      <c r="P271" s="16"/>
      <c r="Q271" s="18"/>
      <c r="R271" s="18"/>
      <c r="S271" s="16"/>
      <c r="T271" s="16"/>
      <c r="U271" s="17"/>
    </row>
    <row r="272" spans="1:21" ht="16.05" customHeight="1" x14ac:dyDescent="0.3">
      <c r="A272" s="16"/>
      <c r="B272" s="16"/>
      <c r="C272" s="17"/>
      <c r="D272" s="17"/>
      <c r="E272" s="16"/>
      <c r="F272" s="16"/>
      <c r="G272" s="16"/>
      <c r="H272" s="16"/>
      <c r="I272" s="17"/>
      <c r="J272" s="17"/>
      <c r="K272" s="17"/>
      <c r="L272" s="17"/>
      <c r="M272" s="17"/>
      <c r="N272" s="16"/>
      <c r="O272" s="16"/>
      <c r="P272" s="16"/>
      <c r="Q272" s="18"/>
      <c r="R272" s="18"/>
      <c r="S272" s="16"/>
      <c r="T272" s="16"/>
      <c r="U272" s="17"/>
    </row>
    <row r="273" spans="1:21" ht="16.05" customHeight="1" x14ac:dyDescent="0.3">
      <c r="A273" s="16"/>
      <c r="B273" s="16"/>
      <c r="C273" s="17"/>
      <c r="D273" s="17"/>
      <c r="E273" s="16"/>
      <c r="F273" s="16"/>
      <c r="G273" s="16"/>
      <c r="H273" s="16"/>
      <c r="I273" s="17"/>
      <c r="J273" s="17"/>
      <c r="K273" s="17"/>
      <c r="L273" s="17"/>
      <c r="M273" s="17"/>
      <c r="N273" s="16"/>
      <c r="O273" s="16"/>
      <c r="P273" s="16"/>
      <c r="Q273" s="18"/>
      <c r="R273" s="18"/>
      <c r="S273" s="16"/>
      <c r="T273" s="16"/>
      <c r="U273" s="17"/>
    </row>
    <row r="274" spans="1:21" ht="16.05" customHeight="1" x14ac:dyDescent="0.3">
      <c r="A274" s="16"/>
      <c r="B274" s="16"/>
      <c r="C274" s="17"/>
      <c r="D274" s="17"/>
      <c r="E274" s="16"/>
      <c r="F274" s="16"/>
      <c r="G274" s="16"/>
      <c r="H274" s="16"/>
      <c r="I274" s="17"/>
      <c r="J274" s="17"/>
      <c r="K274" s="17"/>
      <c r="L274" s="17"/>
      <c r="M274" s="17"/>
      <c r="N274" s="16"/>
      <c r="O274" s="16"/>
      <c r="P274" s="16"/>
      <c r="Q274" s="18"/>
      <c r="R274" s="18"/>
      <c r="S274" s="16"/>
      <c r="T274" s="16"/>
      <c r="U274" s="17"/>
    </row>
    <row r="275" spans="1:21" ht="16.05" customHeight="1" x14ac:dyDescent="0.3">
      <c r="A275" s="16"/>
      <c r="B275" s="16"/>
      <c r="C275" s="17"/>
      <c r="D275" s="17"/>
      <c r="E275" s="16"/>
      <c r="F275" s="16"/>
      <c r="G275" s="16"/>
      <c r="H275" s="16"/>
      <c r="I275" s="17"/>
      <c r="J275" s="17"/>
      <c r="K275" s="17"/>
      <c r="L275" s="17"/>
      <c r="M275" s="17"/>
      <c r="N275" s="16"/>
      <c r="O275" s="16"/>
      <c r="P275" s="16"/>
      <c r="Q275" s="18"/>
      <c r="R275" s="18"/>
      <c r="S275" s="16"/>
      <c r="T275" s="16"/>
      <c r="U275" s="17"/>
    </row>
    <row r="276" spans="1:21" ht="16.05" customHeight="1" x14ac:dyDescent="0.3">
      <c r="A276" s="16"/>
      <c r="B276" s="16"/>
      <c r="C276" s="17"/>
      <c r="D276" s="17"/>
      <c r="E276" s="16"/>
      <c r="F276" s="16"/>
      <c r="G276" s="16"/>
      <c r="H276" s="16"/>
      <c r="I276" s="17"/>
      <c r="J276" s="17"/>
      <c r="K276" s="17"/>
      <c r="L276" s="17"/>
      <c r="M276" s="17"/>
      <c r="N276" s="16"/>
      <c r="O276" s="16"/>
      <c r="P276" s="16"/>
      <c r="Q276" s="18"/>
      <c r="R276" s="18"/>
      <c r="S276" s="16"/>
      <c r="T276" s="16"/>
      <c r="U276" s="17"/>
    </row>
    <row r="277" spans="1:21" ht="16.05" customHeight="1" x14ac:dyDescent="0.3">
      <c r="A277" s="16"/>
      <c r="B277" s="16"/>
      <c r="C277" s="17"/>
      <c r="D277" s="17"/>
      <c r="E277" s="16"/>
      <c r="F277" s="16"/>
      <c r="G277" s="16"/>
      <c r="H277" s="16"/>
      <c r="I277" s="17"/>
      <c r="J277" s="17"/>
      <c r="K277" s="17"/>
      <c r="L277" s="17"/>
      <c r="M277" s="17"/>
      <c r="N277" s="16"/>
      <c r="O277" s="16"/>
      <c r="P277" s="16"/>
      <c r="Q277" s="18"/>
      <c r="R277" s="18"/>
      <c r="S277" s="16"/>
      <c r="T277" s="16"/>
      <c r="U277" s="17"/>
    </row>
    <row r="278" spans="1:21" ht="16.05" customHeight="1" x14ac:dyDescent="0.3">
      <c r="A278" s="16"/>
      <c r="B278" s="16"/>
      <c r="C278" s="17"/>
      <c r="D278" s="17"/>
      <c r="E278" s="16"/>
      <c r="F278" s="16"/>
      <c r="G278" s="16"/>
      <c r="H278" s="16"/>
      <c r="I278" s="17"/>
      <c r="J278" s="17"/>
      <c r="K278" s="17"/>
      <c r="L278" s="17"/>
      <c r="M278" s="17"/>
      <c r="N278" s="16"/>
      <c r="O278" s="16"/>
      <c r="P278" s="16"/>
      <c r="Q278" s="18"/>
      <c r="R278" s="18"/>
      <c r="S278" s="16"/>
      <c r="T278" s="16"/>
      <c r="U278" s="17"/>
    </row>
    <row r="279" spans="1:21" ht="16.05" customHeight="1" x14ac:dyDescent="0.3">
      <c r="A279" s="16"/>
      <c r="B279" s="16"/>
      <c r="C279" s="17"/>
      <c r="D279" s="17"/>
      <c r="E279" s="16"/>
      <c r="F279" s="16"/>
      <c r="G279" s="16"/>
      <c r="H279" s="16"/>
      <c r="I279" s="17"/>
      <c r="J279" s="17"/>
      <c r="K279" s="17"/>
      <c r="L279" s="17"/>
      <c r="M279" s="17"/>
      <c r="N279" s="16"/>
      <c r="O279" s="16"/>
      <c r="P279" s="16"/>
      <c r="Q279" s="18"/>
      <c r="R279" s="18"/>
      <c r="S279" s="16"/>
      <c r="T279" s="16"/>
      <c r="U279" s="17"/>
    </row>
    <row r="280" spans="1:21" ht="16.05" customHeight="1" x14ac:dyDescent="0.3">
      <c r="A280" s="16"/>
      <c r="B280" s="16"/>
      <c r="C280" s="17"/>
      <c r="D280" s="17"/>
      <c r="E280" s="16"/>
      <c r="F280" s="16"/>
      <c r="G280" s="16"/>
      <c r="H280" s="16"/>
      <c r="I280" s="17"/>
      <c r="J280" s="17"/>
      <c r="K280" s="17"/>
      <c r="L280" s="17"/>
      <c r="M280" s="17"/>
      <c r="N280" s="16"/>
      <c r="O280" s="16"/>
      <c r="P280" s="16"/>
      <c r="Q280" s="18"/>
      <c r="R280" s="18"/>
      <c r="S280" s="16"/>
      <c r="T280" s="16"/>
      <c r="U280" s="17"/>
    </row>
    <row r="281" spans="1:21" ht="16.05" customHeight="1" x14ac:dyDescent="0.3">
      <c r="A281" s="16"/>
      <c r="B281" s="16"/>
      <c r="C281" s="17"/>
      <c r="D281" s="17"/>
      <c r="E281" s="16"/>
      <c r="F281" s="16"/>
      <c r="G281" s="16"/>
      <c r="H281" s="16"/>
      <c r="I281" s="17"/>
      <c r="J281" s="17"/>
      <c r="K281" s="17"/>
      <c r="L281" s="17"/>
      <c r="M281" s="17"/>
      <c r="N281" s="16"/>
      <c r="O281" s="16"/>
      <c r="P281" s="16"/>
      <c r="Q281" s="18"/>
      <c r="R281" s="18"/>
      <c r="S281" s="16"/>
      <c r="T281" s="16"/>
      <c r="U281" s="17"/>
    </row>
    <row r="282" spans="1:21" ht="16.05" customHeight="1" x14ac:dyDescent="0.3">
      <c r="A282" s="16"/>
      <c r="B282" s="16"/>
      <c r="C282" s="17"/>
      <c r="D282" s="17"/>
      <c r="E282" s="16"/>
      <c r="F282" s="16"/>
      <c r="G282" s="16"/>
      <c r="H282" s="16"/>
      <c r="I282" s="17"/>
      <c r="J282" s="17"/>
      <c r="K282" s="17"/>
      <c r="L282" s="17"/>
      <c r="M282" s="17"/>
      <c r="N282" s="16"/>
      <c r="O282" s="16"/>
      <c r="P282" s="16"/>
      <c r="Q282" s="18"/>
      <c r="R282" s="18"/>
      <c r="S282" s="16"/>
      <c r="T282" s="16"/>
      <c r="U282" s="17"/>
    </row>
    <row r="283" spans="1:21" ht="16.05" customHeight="1" x14ac:dyDescent="0.3">
      <c r="A283" s="16"/>
      <c r="B283" s="16"/>
      <c r="C283" s="17"/>
      <c r="D283" s="17"/>
      <c r="E283" s="16"/>
      <c r="F283" s="16"/>
      <c r="G283" s="16"/>
      <c r="H283" s="16"/>
      <c r="I283" s="17"/>
      <c r="J283" s="17"/>
      <c r="K283" s="17"/>
      <c r="L283" s="17"/>
      <c r="M283" s="17"/>
      <c r="N283" s="16"/>
      <c r="O283" s="16"/>
      <c r="P283" s="16"/>
      <c r="Q283" s="18"/>
      <c r="R283" s="18"/>
      <c r="S283" s="16"/>
      <c r="T283" s="16"/>
      <c r="U283" s="17"/>
    </row>
    <row r="284" spans="1:21" ht="16.05" customHeight="1" x14ac:dyDescent="0.3">
      <c r="A284" s="16"/>
      <c r="B284" s="16"/>
      <c r="C284" s="17"/>
      <c r="D284" s="17"/>
      <c r="E284" s="16"/>
      <c r="F284" s="16"/>
      <c r="G284" s="16"/>
      <c r="H284" s="16"/>
      <c r="I284" s="17"/>
      <c r="J284" s="17"/>
      <c r="K284" s="17"/>
      <c r="L284" s="17"/>
      <c r="M284" s="17"/>
      <c r="N284" s="16"/>
      <c r="O284" s="16"/>
      <c r="P284" s="16"/>
      <c r="Q284" s="18"/>
      <c r="R284" s="18"/>
      <c r="S284" s="16"/>
      <c r="T284" s="16"/>
      <c r="U284" s="17"/>
    </row>
    <row r="285" spans="1:21" ht="16.05" customHeight="1" x14ac:dyDescent="0.3">
      <c r="A285" s="16"/>
      <c r="B285" s="16"/>
      <c r="C285" s="17"/>
      <c r="D285" s="17"/>
      <c r="E285" s="16"/>
      <c r="F285" s="16"/>
      <c r="G285" s="16"/>
      <c r="H285" s="16"/>
      <c r="I285" s="17"/>
      <c r="J285" s="17"/>
      <c r="K285" s="17"/>
      <c r="L285" s="17"/>
      <c r="M285" s="17"/>
      <c r="N285" s="16"/>
      <c r="O285" s="16"/>
      <c r="P285" s="16"/>
      <c r="Q285" s="18"/>
      <c r="R285" s="18"/>
      <c r="S285" s="16"/>
      <c r="T285" s="16"/>
      <c r="U285" s="17"/>
    </row>
    <row r="286" spans="1:21" ht="16.05" customHeight="1" x14ac:dyDescent="0.3">
      <c r="A286" s="16"/>
      <c r="B286" s="16"/>
      <c r="C286" s="17"/>
      <c r="D286" s="17"/>
      <c r="E286" s="16"/>
      <c r="F286" s="16"/>
      <c r="G286" s="16"/>
      <c r="H286" s="16"/>
      <c r="I286" s="17"/>
      <c r="J286" s="17"/>
      <c r="K286" s="17"/>
      <c r="L286" s="17"/>
      <c r="M286" s="17"/>
      <c r="N286" s="16"/>
      <c r="O286" s="16"/>
      <c r="P286" s="16"/>
      <c r="Q286" s="18"/>
      <c r="R286" s="18"/>
      <c r="S286" s="16"/>
      <c r="T286" s="16"/>
      <c r="U286" s="17"/>
    </row>
    <row r="287" spans="1:21" ht="16.05" customHeight="1" x14ac:dyDescent="0.3">
      <c r="A287" s="16"/>
      <c r="B287" s="16"/>
      <c r="C287" s="17"/>
      <c r="D287" s="17"/>
      <c r="E287" s="16"/>
      <c r="F287" s="16"/>
      <c r="G287" s="16"/>
      <c r="H287" s="16"/>
      <c r="I287" s="17"/>
      <c r="J287" s="17"/>
      <c r="K287" s="17"/>
      <c r="L287" s="17"/>
      <c r="M287" s="17"/>
      <c r="N287" s="16"/>
      <c r="O287" s="16"/>
      <c r="P287" s="16"/>
      <c r="Q287" s="18"/>
      <c r="R287" s="18"/>
      <c r="S287" s="16"/>
      <c r="T287" s="16"/>
      <c r="U287" s="17"/>
    </row>
    <row r="288" spans="1:21" ht="16.05" customHeight="1" x14ac:dyDescent="0.3">
      <c r="A288" s="16"/>
      <c r="B288" s="16"/>
      <c r="C288" s="17"/>
      <c r="D288" s="17"/>
      <c r="E288" s="16"/>
      <c r="F288" s="16"/>
      <c r="G288" s="16"/>
      <c r="H288" s="16"/>
      <c r="I288" s="17"/>
      <c r="J288" s="17"/>
      <c r="K288" s="17"/>
      <c r="L288" s="17"/>
      <c r="M288" s="17"/>
      <c r="N288" s="16"/>
      <c r="O288" s="16"/>
      <c r="P288" s="16"/>
      <c r="Q288" s="18"/>
      <c r="R288" s="18"/>
      <c r="S288" s="16"/>
      <c r="T288" s="16"/>
      <c r="U288" s="17"/>
    </row>
    <row r="289" spans="1:21" ht="16.05" customHeight="1" x14ac:dyDescent="0.3">
      <c r="A289" s="16"/>
      <c r="B289" s="16"/>
      <c r="C289" s="17"/>
      <c r="D289" s="17"/>
      <c r="E289" s="16"/>
      <c r="F289" s="16"/>
      <c r="G289" s="16"/>
      <c r="H289" s="16"/>
      <c r="I289" s="17"/>
      <c r="J289" s="17"/>
      <c r="K289" s="17"/>
      <c r="L289" s="17"/>
      <c r="M289" s="17"/>
      <c r="N289" s="16"/>
      <c r="O289" s="16"/>
      <c r="P289" s="16"/>
      <c r="Q289" s="18"/>
      <c r="R289" s="18"/>
      <c r="S289" s="16"/>
      <c r="T289" s="16"/>
      <c r="U289" s="17"/>
    </row>
    <row r="290" spans="1:21" ht="16.05" customHeight="1" x14ac:dyDescent="0.3">
      <c r="A290" s="16"/>
      <c r="B290" s="16"/>
      <c r="C290" s="17"/>
      <c r="D290" s="17"/>
      <c r="E290" s="16"/>
      <c r="F290" s="16"/>
      <c r="G290" s="16"/>
      <c r="H290" s="16"/>
      <c r="I290" s="17"/>
      <c r="J290" s="17"/>
      <c r="K290" s="17"/>
      <c r="L290" s="17"/>
      <c r="M290" s="17"/>
      <c r="N290" s="16"/>
      <c r="O290" s="16"/>
      <c r="P290" s="16"/>
      <c r="Q290" s="18"/>
      <c r="R290" s="18"/>
      <c r="S290" s="16"/>
      <c r="T290" s="16"/>
      <c r="U290" s="17"/>
    </row>
    <row r="291" spans="1:21" ht="16.05" customHeight="1" x14ac:dyDescent="0.3">
      <c r="A291" s="16"/>
      <c r="B291" s="16"/>
      <c r="C291" s="17"/>
      <c r="D291" s="17"/>
      <c r="E291" s="16"/>
      <c r="F291" s="16"/>
      <c r="G291" s="16"/>
      <c r="H291" s="16"/>
      <c r="I291" s="17"/>
      <c r="J291" s="17"/>
      <c r="K291" s="17"/>
      <c r="L291" s="17"/>
      <c r="M291" s="17"/>
      <c r="N291" s="16"/>
      <c r="O291" s="16"/>
      <c r="P291" s="16"/>
      <c r="Q291" s="18"/>
      <c r="R291" s="18"/>
      <c r="S291" s="16"/>
      <c r="T291" s="16"/>
      <c r="U291" s="17"/>
    </row>
    <row r="292" spans="1:21" ht="16.05" customHeight="1" x14ac:dyDescent="0.3">
      <c r="A292" s="16"/>
      <c r="B292" s="16"/>
      <c r="C292" s="17"/>
      <c r="D292" s="17"/>
      <c r="E292" s="16"/>
      <c r="F292" s="16"/>
      <c r="G292" s="16"/>
      <c r="H292" s="16"/>
      <c r="I292" s="17"/>
      <c r="J292" s="17"/>
      <c r="K292" s="17"/>
      <c r="L292" s="17"/>
      <c r="M292" s="17"/>
      <c r="N292" s="16"/>
      <c r="O292" s="16"/>
      <c r="P292" s="16"/>
      <c r="Q292" s="18"/>
      <c r="R292" s="18"/>
      <c r="S292" s="16"/>
      <c r="T292" s="16"/>
      <c r="U292" s="17"/>
    </row>
    <row r="293" spans="1:21" ht="16.05" customHeight="1" x14ac:dyDescent="0.3">
      <c r="A293" s="16"/>
      <c r="B293" s="16"/>
      <c r="C293" s="17"/>
      <c r="D293" s="17"/>
      <c r="E293" s="16"/>
      <c r="F293" s="16"/>
      <c r="G293" s="16"/>
      <c r="H293" s="16"/>
      <c r="I293" s="17"/>
      <c r="J293" s="17"/>
      <c r="K293" s="17"/>
      <c r="L293" s="17"/>
      <c r="M293" s="17"/>
      <c r="N293" s="16"/>
      <c r="O293" s="16"/>
      <c r="P293" s="16"/>
      <c r="Q293" s="18"/>
      <c r="R293" s="18"/>
      <c r="S293" s="16"/>
      <c r="T293" s="16"/>
      <c r="U293" s="17"/>
    </row>
    <row r="294" spans="1:21" ht="16.05" customHeight="1" x14ac:dyDescent="0.3">
      <c r="A294" s="16"/>
      <c r="B294" s="16"/>
      <c r="C294" s="17"/>
      <c r="D294" s="17"/>
      <c r="E294" s="16"/>
      <c r="F294" s="16"/>
      <c r="G294" s="16"/>
      <c r="H294" s="16"/>
      <c r="I294" s="17"/>
      <c r="J294" s="17"/>
      <c r="K294" s="17"/>
      <c r="L294" s="17"/>
      <c r="M294" s="17"/>
      <c r="N294" s="16"/>
      <c r="O294" s="16"/>
      <c r="P294" s="16"/>
      <c r="Q294" s="18"/>
      <c r="R294" s="18"/>
      <c r="S294" s="16"/>
      <c r="T294" s="16"/>
      <c r="U294" s="17"/>
    </row>
    <row r="295" spans="1:21" ht="16.05" customHeight="1" x14ac:dyDescent="0.3">
      <c r="A295" s="16"/>
      <c r="B295" s="16"/>
      <c r="C295" s="17"/>
      <c r="D295" s="17"/>
      <c r="E295" s="16"/>
      <c r="F295" s="16"/>
      <c r="G295" s="16"/>
      <c r="H295" s="16"/>
      <c r="I295" s="17"/>
      <c r="J295" s="17"/>
      <c r="K295" s="17"/>
      <c r="L295" s="17"/>
      <c r="M295" s="17"/>
      <c r="N295" s="16"/>
      <c r="O295" s="16"/>
      <c r="P295" s="16"/>
      <c r="Q295" s="18"/>
      <c r="R295" s="18"/>
      <c r="S295" s="16"/>
      <c r="T295" s="16"/>
      <c r="U295" s="17"/>
    </row>
    <row r="296" spans="1:21" ht="16.05" customHeight="1" x14ac:dyDescent="0.3">
      <c r="A296" s="16"/>
      <c r="B296" s="16"/>
      <c r="C296" s="17"/>
      <c r="D296" s="17"/>
      <c r="E296" s="16"/>
      <c r="F296" s="16"/>
      <c r="G296" s="16"/>
      <c r="H296" s="16"/>
      <c r="I296" s="17"/>
      <c r="J296" s="17"/>
      <c r="K296" s="17"/>
      <c r="L296" s="17"/>
      <c r="M296" s="17"/>
      <c r="N296" s="16"/>
      <c r="O296" s="16"/>
      <c r="P296" s="16"/>
      <c r="Q296" s="18"/>
      <c r="R296" s="18"/>
      <c r="S296" s="16"/>
      <c r="T296" s="16"/>
      <c r="U296" s="17"/>
    </row>
    <row r="297" spans="1:21" ht="16.05" customHeight="1" x14ac:dyDescent="0.3">
      <c r="A297" s="16"/>
      <c r="B297" s="16"/>
      <c r="C297" s="17"/>
      <c r="D297" s="17"/>
      <c r="E297" s="16"/>
      <c r="F297" s="16"/>
      <c r="G297" s="16"/>
      <c r="H297" s="16"/>
      <c r="I297" s="17"/>
      <c r="J297" s="17"/>
      <c r="K297" s="17"/>
      <c r="L297" s="17"/>
      <c r="M297" s="17"/>
      <c r="N297" s="16"/>
      <c r="O297" s="16"/>
      <c r="P297" s="16"/>
      <c r="Q297" s="18"/>
      <c r="R297" s="18"/>
      <c r="S297" s="16"/>
      <c r="T297" s="16"/>
      <c r="U297" s="17"/>
    </row>
    <row r="298" spans="1:21" ht="16.05" customHeight="1" x14ac:dyDescent="0.3">
      <c r="A298" s="16"/>
      <c r="B298" s="16"/>
      <c r="C298" s="17"/>
      <c r="D298" s="17"/>
      <c r="E298" s="16"/>
      <c r="F298" s="16"/>
      <c r="G298" s="16"/>
      <c r="H298" s="16"/>
      <c r="I298" s="17"/>
      <c r="J298" s="17"/>
      <c r="K298" s="17"/>
      <c r="L298" s="17"/>
      <c r="M298" s="17"/>
      <c r="N298" s="16"/>
      <c r="O298" s="16"/>
      <c r="P298" s="16"/>
      <c r="Q298" s="18"/>
      <c r="R298" s="18"/>
      <c r="S298" s="16"/>
      <c r="T298" s="16"/>
      <c r="U298" s="17"/>
    </row>
    <row r="299" spans="1:21" ht="16.05" customHeight="1" x14ac:dyDescent="0.3">
      <c r="A299" s="16"/>
      <c r="B299" s="16"/>
      <c r="C299" s="17"/>
      <c r="D299" s="17"/>
      <c r="E299" s="16"/>
      <c r="F299" s="16"/>
      <c r="G299" s="16"/>
      <c r="H299" s="16"/>
      <c r="I299" s="17"/>
      <c r="J299" s="17"/>
      <c r="K299" s="17"/>
      <c r="L299" s="17"/>
      <c r="M299" s="17"/>
      <c r="N299" s="16"/>
      <c r="O299" s="16"/>
      <c r="P299" s="16"/>
      <c r="Q299" s="18"/>
      <c r="R299" s="18"/>
      <c r="S299" s="16"/>
      <c r="T299" s="16"/>
      <c r="U299" s="17"/>
    </row>
    <row r="300" spans="1:21" ht="16.05" customHeight="1" x14ac:dyDescent="0.3">
      <c r="A300" s="16"/>
      <c r="B300" s="16"/>
      <c r="C300" s="17"/>
      <c r="D300" s="17"/>
      <c r="E300" s="16"/>
      <c r="F300" s="16"/>
      <c r="G300" s="16"/>
      <c r="H300" s="16"/>
      <c r="I300" s="17"/>
      <c r="J300" s="17"/>
      <c r="K300" s="17"/>
      <c r="L300" s="17"/>
      <c r="M300" s="17"/>
      <c r="N300" s="16"/>
      <c r="O300" s="16"/>
      <c r="P300" s="16"/>
      <c r="Q300" s="18"/>
      <c r="R300" s="18"/>
      <c r="S300" s="16"/>
      <c r="T300" s="16"/>
      <c r="U300" s="17"/>
    </row>
    <row r="301" spans="1:21" ht="16.05" customHeight="1" x14ac:dyDescent="0.3">
      <c r="A301" s="16"/>
      <c r="B301" s="16"/>
      <c r="C301" s="17"/>
      <c r="D301" s="17"/>
      <c r="E301" s="16"/>
      <c r="F301" s="16"/>
      <c r="G301" s="16"/>
      <c r="H301" s="16"/>
      <c r="I301" s="17"/>
      <c r="J301" s="17"/>
      <c r="K301" s="17"/>
      <c r="L301" s="17"/>
      <c r="M301" s="17"/>
      <c r="N301" s="16"/>
      <c r="O301" s="16"/>
      <c r="P301" s="16"/>
      <c r="Q301" s="18"/>
      <c r="R301" s="18"/>
      <c r="S301" s="16"/>
      <c r="T301" s="16"/>
      <c r="U301" s="17"/>
    </row>
    <row r="302" spans="1:21" ht="16.05" customHeight="1" x14ac:dyDescent="0.3">
      <c r="A302" s="16"/>
      <c r="B302" s="16"/>
      <c r="C302" s="17"/>
      <c r="D302" s="17"/>
      <c r="E302" s="16"/>
      <c r="F302" s="16"/>
      <c r="G302" s="16"/>
      <c r="H302" s="16"/>
      <c r="I302" s="17"/>
      <c r="J302" s="17"/>
      <c r="K302" s="17"/>
      <c r="L302" s="17"/>
      <c r="M302" s="17"/>
      <c r="N302" s="16"/>
      <c r="O302" s="16"/>
      <c r="P302" s="16"/>
      <c r="Q302" s="18"/>
      <c r="R302" s="18"/>
      <c r="S302" s="16"/>
      <c r="T302" s="16"/>
      <c r="U302" s="17"/>
    </row>
    <row r="303" spans="1:21" ht="16.05" customHeight="1" x14ac:dyDescent="0.3">
      <c r="A303" s="16"/>
      <c r="B303" s="16"/>
      <c r="C303" s="17"/>
      <c r="D303" s="17"/>
      <c r="E303" s="16"/>
      <c r="F303" s="16"/>
      <c r="G303" s="16"/>
      <c r="H303" s="16"/>
      <c r="I303" s="17"/>
      <c r="J303" s="17"/>
      <c r="K303" s="17"/>
      <c r="L303" s="17"/>
      <c r="M303" s="17"/>
      <c r="N303" s="16"/>
      <c r="O303" s="16"/>
      <c r="P303" s="16"/>
      <c r="Q303" s="18"/>
      <c r="R303" s="18"/>
      <c r="S303" s="16"/>
      <c r="T303" s="16"/>
      <c r="U303" s="17"/>
    </row>
    <row r="304" spans="1:21" ht="16.05" customHeight="1" x14ac:dyDescent="0.3">
      <c r="A304" s="16"/>
      <c r="B304" s="16"/>
      <c r="C304" s="17"/>
      <c r="D304" s="17"/>
      <c r="E304" s="16"/>
      <c r="F304" s="16"/>
      <c r="G304" s="16"/>
      <c r="H304" s="16"/>
      <c r="I304" s="17"/>
      <c r="J304" s="17"/>
      <c r="K304" s="17"/>
      <c r="L304" s="17"/>
      <c r="M304" s="17"/>
      <c r="N304" s="16"/>
      <c r="O304" s="16"/>
      <c r="P304" s="16"/>
      <c r="Q304" s="18"/>
      <c r="R304" s="18"/>
      <c r="S304" s="16"/>
      <c r="T304" s="16"/>
      <c r="U304" s="17"/>
    </row>
    <row r="305" spans="1:21" ht="16.05" customHeight="1" x14ac:dyDescent="0.3">
      <c r="A305" s="16"/>
      <c r="B305" s="16"/>
      <c r="C305" s="17"/>
      <c r="D305" s="17"/>
      <c r="E305" s="16"/>
      <c r="F305" s="16"/>
      <c r="G305" s="16"/>
      <c r="H305" s="16"/>
      <c r="I305" s="17"/>
      <c r="J305" s="17"/>
      <c r="K305" s="17"/>
      <c r="L305" s="17"/>
      <c r="M305" s="17"/>
      <c r="N305" s="16"/>
      <c r="O305" s="16"/>
      <c r="P305" s="16"/>
      <c r="Q305" s="18"/>
      <c r="R305" s="18"/>
      <c r="S305" s="16"/>
      <c r="T305" s="16"/>
      <c r="U305" s="17"/>
    </row>
    <row r="306" spans="1:21" ht="16.05" customHeight="1" x14ac:dyDescent="0.3">
      <c r="A306" s="16"/>
      <c r="B306" s="16"/>
      <c r="C306" s="17"/>
      <c r="D306" s="17"/>
      <c r="E306" s="16"/>
      <c r="F306" s="16"/>
      <c r="G306" s="16"/>
      <c r="H306" s="16"/>
      <c r="I306" s="17"/>
      <c r="J306" s="17"/>
      <c r="K306" s="17"/>
      <c r="L306" s="17"/>
      <c r="M306" s="17"/>
      <c r="N306" s="16"/>
      <c r="O306" s="16"/>
      <c r="P306" s="16"/>
      <c r="Q306" s="18"/>
      <c r="R306" s="18"/>
      <c r="S306" s="16"/>
      <c r="T306" s="16"/>
      <c r="U306" s="17"/>
    </row>
    <row r="307" spans="1:21" ht="16.05" customHeight="1" x14ac:dyDescent="0.3">
      <c r="A307" s="16"/>
      <c r="B307" s="16"/>
      <c r="C307" s="17"/>
      <c r="D307" s="17"/>
      <c r="E307" s="16"/>
      <c r="F307" s="16"/>
      <c r="G307" s="16"/>
      <c r="H307" s="16"/>
      <c r="I307" s="17"/>
      <c r="J307" s="17"/>
      <c r="K307" s="17"/>
      <c r="L307" s="17"/>
      <c r="M307" s="17"/>
      <c r="N307" s="16"/>
      <c r="O307" s="16"/>
      <c r="P307" s="16"/>
      <c r="Q307" s="18"/>
      <c r="R307" s="18"/>
      <c r="S307" s="16"/>
      <c r="T307" s="16"/>
      <c r="U307" s="17"/>
    </row>
    <row r="308" spans="1:21" ht="16.05" customHeight="1" x14ac:dyDescent="0.3">
      <c r="A308" s="16"/>
      <c r="B308" s="16"/>
      <c r="C308" s="17"/>
      <c r="D308" s="17"/>
      <c r="E308" s="16"/>
      <c r="F308" s="16"/>
      <c r="G308" s="16"/>
      <c r="H308" s="16"/>
      <c r="I308" s="17"/>
      <c r="J308" s="17"/>
      <c r="K308" s="17"/>
      <c r="L308" s="17"/>
      <c r="M308" s="17"/>
      <c r="N308" s="16"/>
      <c r="O308" s="16"/>
      <c r="P308" s="16"/>
      <c r="Q308" s="18"/>
      <c r="R308" s="18"/>
      <c r="S308" s="16"/>
      <c r="T308" s="16"/>
      <c r="U308" s="17"/>
    </row>
    <row r="309" spans="1:21" ht="16.05" customHeight="1" x14ac:dyDescent="0.3">
      <c r="A309" s="16"/>
      <c r="B309" s="16"/>
      <c r="C309" s="17"/>
      <c r="D309" s="17"/>
      <c r="E309" s="16"/>
      <c r="F309" s="16"/>
      <c r="G309" s="16"/>
      <c r="H309" s="16"/>
      <c r="I309" s="17"/>
      <c r="J309" s="17"/>
      <c r="K309" s="17"/>
      <c r="L309" s="17"/>
      <c r="M309" s="17"/>
      <c r="N309" s="16"/>
      <c r="O309" s="16"/>
      <c r="P309" s="16"/>
      <c r="Q309" s="18"/>
      <c r="R309" s="18"/>
      <c r="S309" s="16"/>
      <c r="T309" s="16"/>
      <c r="U309" s="17"/>
    </row>
    <row r="310" spans="1:21" ht="16.05" customHeight="1" x14ac:dyDescent="0.3">
      <c r="A310" s="16"/>
      <c r="B310" s="16"/>
      <c r="C310" s="17"/>
      <c r="D310" s="17"/>
      <c r="E310" s="16"/>
      <c r="F310" s="16"/>
      <c r="G310" s="16"/>
      <c r="H310" s="16"/>
      <c r="I310" s="17"/>
      <c r="J310" s="17"/>
      <c r="K310" s="17"/>
      <c r="L310" s="17"/>
      <c r="M310" s="17"/>
      <c r="N310" s="16"/>
      <c r="O310" s="16"/>
      <c r="P310" s="16"/>
      <c r="Q310" s="18"/>
      <c r="R310" s="18"/>
      <c r="S310" s="16"/>
      <c r="T310" s="16"/>
      <c r="U310" s="17"/>
    </row>
    <row r="311" spans="1:21" ht="16.05" customHeight="1" x14ac:dyDescent="0.3">
      <c r="A311" s="16"/>
      <c r="B311" s="16"/>
      <c r="C311" s="17"/>
      <c r="D311" s="17"/>
      <c r="E311" s="16"/>
      <c r="F311" s="16"/>
      <c r="G311" s="16"/>
      <c r="H311" s="16"/>
      <c r="I311" s="17"/>
      <c r="J311" s="17"/>
      <c r="K311" s="17"/>
      <c r="L311" s="17"/>
      <c r="M311" s="17"/>
      <c r="N311" s="16"/>
      <c r="O311" s="16"/>
      <c r="P311" s="16"/>
      <c r="Q311" s="18"/>
      <c r="R311" s="18"/>
      <c r="S311" s="16"/>
      <c r="T311" s="16"/>
      <c r="U311" s="17"/>
    </row>
    <row r="312" spans="1:21" ht="16.05" customHeight="1" x14ac:dyDescent="0.3">
      <c r="A312" s="16"/>
      <c r="B312" s="16"/>
      <c r="C312" s="17"/>
      <c r="D312" s="17"/>
      <c r="E312" s="16"/>
      <c r="F312" s="16"/>
      <c r="G312" s="16"/>
      <c r="H312" s="16"/>
      <c r="I312" s="17"/>
      <c r="J312" s="17"/>
      <c r="K312" s="17"/>
      <c r="L312" s="17"/>
      <c r="M312" s="17"/>
      <c r="N312" s="16"/>
      <c r="O312" s="16"/>
      <c r="P312" s="16"/>
      <c r="Q312" s="18"/>
      <c r="R312" s="18"/>
      <c r="S312" s="16"/>
      <c r="T312" s="16"/>
      <c r="U312" s="17"/>
    </row>
    <row r="313" spans="1:21" ht="16.05" customHeight="1" x14ac:dyDescent="0.3">
      <c r="A313" s="16"/>
      <c r="B313" s="16"/>
      <c r="C313" s="17"/>
      <c r="D313" s="17"/>
      <c r="E313" s="16"/>
      <c r="F313" s="16"/>
      <c r="G313" s="16"/>
      <c r="H313" s="16"/>
      <c r="I313" s="17"/>
      <c r="J313" s="17"/>
      <c r="K313" s="17"/>
      <c r="L313" s="17"/>
      <c r="M313" s="17"/>
      <c r="N313" s="16"/>
      <c r="O313" s="16"/>
      <c r="P313" s="16"/>
      <c r="Q313" s="18"/>
      <c r="R313" s="18"/>
      <c r="S313" s="16"/>
      <c r="T313" s="16"/>
      <c r="U313" s="17"/>
    </row>
    <row r="314" spans="1:21" ht="16.05" customHeight="1" x14ac:dyDescent="0.3">
      <c r="A314" s="16"/>
      <c r="B314" s="16"/>
      <c r="C314" s="17"/>
      <c r="D314" s="17"/>
      <c r="E314" s="16"/>
      <c r="F314" s="16"/>
      <c r="G314" s="16"/>
      <c r="H314" s="16"/>
      <c r="I314" s="17"/>
      <c r="J314" s="17"/>
      <c r="K314" s="17"/>
      <c r="L314" s="17"/>
      <c r="M314" s="17"/>
      <c r="N314" s="16"/>
      <c r="O314" s="16"/>
      <c r="P314" s="16"/>
      <c r="Q314" s="18"/>
      <c r="R314" s="18"/>
      <c r="S314" s="16"/>
      <c r="T314" s="16"/>
      <c r="U314" s="17"/>
    </row>
    <row r="315" spans="1:21" ht="16.05" customHeight="1" x14ac:dyDescent="0.3">
      <c r="A315" s="16"/>
      <c r="B315" s="16"/>
      <c r="C315" s="17"/>
      <c r="D315" s="17"/>
      <c r="E315" s="16"/>
      <c r="F315" s="16"/>
      <c r="G315" s="16"/>
      <c r="H315" s="16"/>
      <c r="I315" s="17"/>
      <c r="J315" s="17"/>
      <c r="K315" s="17"/>
      <c r="L315" s="17"/>
      <c r="M315" s="17"/>
      <c r="N315" s="16"/>
      <c r="O315" s="16"/>
      <c r="P315" s="16"/>
      <c r="Q315" s="18"/>
      <c r="R315" s="18"/>
      <c r="S315" s="16"/>
      <c r="T315" s="16"/>
      <c r="U315" s="17"/>
    </row>
    <row r="316" spans="1:21" ht="16.05" customHeight="1" x14ac:dyDescent="0.3">
      <c r="A316" s="16"/>
      <c r="B316" s="16"/>
      <c r="C316" s="17"/>
      <c r="D316" s="17"/>
      <c r="E316" s="16"/>
      <c r="F316" s="16"/>
      <c r="G316" s="16"/>
      <c r="H316" s="16"/>
      <c r="I316" s="17"/>
      <c r="J316" s="17"/>
      <c r="K316" s="17"/>
      <c r="L316" s="17"/>
      <c r="M316" s="17"/>
      <c r="N316" s="16"/>
      <c r="O316" s="16"/>
      <c r="P316" s="16"/>
      <c r="Q316" s="18"/>
      <c r="R316" s="18"/>
      <c r="S316" s="16"/>
      <c r="T316" s="16"/>
      <c r="U316" s="17"/>
    </row>
    <row r="317" spans="1:21" ht="16.05" customHeight="1" x14ac:dyDescent="0.3">
      <c r="A317" s="16"/>
      <c r="B317" s="16"/>
      <c r="C317" s="17"/>
      <c r="D317" s="17"/>
      <c r="E317" s="16"/>
      <c r="F317" s="16"/>
      <c r="G317" s="16"/>
      <c r="H317" s="16"/>
      <c r="I317" s="17"/>
      <c r="J317" s="17"/>
      <c r="K317" s="17"/>
      <c r="L317" s="17"/>
      <c r="M317" s="17"/>
      <c r="N317" s="16"/>
      <c r="O317" s="16"/>
      <c r="P317" s="16"/>
      <c r="Q317" s="18"/>
      <c r="R317" s="18"/>
      <c r="S317" s="16"/>
      <c r="T317" s="16"/>
      <c r="U317" s="17"/>
    </row>
    <row r="318" spans="1:21" ht="16.05" customHeight="1" x14ac:dyDescent="0.3">
      <c r="A318" s="16"/>
      <c r="B318" s="16"/>
      <c r="C318" s="17"/>
      <c r="D318" s="17"/>
      <c r="E318" s="16"/>
      <c r="F318" s="16"/>
      <c r="G318" s="16"/>
      <c r="H318" s="16"/>
      <c r="I318" s="17"/>
      <c r="J318" s="17"/>
      <c r="K318" s="17"/>
      <c r="L318" s="17"/>
      <c r="M318" s="17"/>
      <c r="N318" s="16"/>
      <c r="O318" s="16"/>
      <c r="P318" s="16"/>
      <c r="Q318" s="18"/>
      <c r="R318" s="18"/>
      <c r="S318" s="16"/>
      <c r="T318" s="16"/>
      <c r="U318" s="17"/>
    </row>
    <row r="319" spans="1:21" ht="16.05" customHeight="1" x14ac:dyDescent="0.3">
      <c r="A319" s="16"/>
      <c r="B319" s="16"/>
      <c r="C319" s="17"/>
      <c r="D319" s="17"/>
      <c r="E319" s="16"/>
      <c r="F319" s="16"/>
      <c r="G319" s="16"/>
      <c r="H319" s="16"/>
      <c r="I319" s="17"/>
      <c r="J319" s="17"/>
      <c r="K319" s="17"/>
      <c r="L319" s="17"/>
      <c r="M319" s="17"/>
      <c r="N319" s="16"/>
      <c r="O319" s="16"/>
      <c r="P319" s="16"/>
      <c r="Q319" s="18"/>
      <c r="R319" s="18"/>
      <c r="S319" s="16"/>
      <c r="T319" s="16"/>
      <c r="U319" s="17"/>
    </row>
    <row r="320" spans="1:21" ht="16.05" customHeight="1" x14ac:dyDescent="0.3">
      <c r="A320" s="16"/>
      <c r="B320" s="16"/>
      <c r="C320" s="17"/>
      <c r="D320" s="17"/>
      <c r="E320" s="16"/>
      <c r="F320" s="16"/>
      <c r="G320" s="16"/>
      <c r="H320" s="16"/>
      <c r="I320" s="17"/>
      <c r="J320" s="17"/>
      <c r="K320" s="17"/>
      <c r="L320" s="17"/>
      <c r="M320" s="17"/>
      <c r="N320" s="16"/>
      <c r="O320" s="16"/>
      <c r="P320" s="16"/>
      <c r="Q320" s="18"/>
      <c r="R320" s="18"/>
      <c r="S320" s="16"/>
      <c r="T320" s="16"/>
      <c r="U320" s="17"/>
    </row>
    <row r="321" spans="1:21" ht="16.05" customHeight="1" x14ac:dyDescent="0.3">
      <c r="A321" s="16"/>
      <c r="B321" s="16"/>
      <c r="C321" s="17"/>
      <c r="D321" s="17"/>
      <c r="E321" s="16"/>
      <c r="F321" s="16"/>
      <c r="G321" s="16"/>
      <c r="H321" s="16"/>
      <c r="I321" s="17"/>
      <c r="J321" s="17"/>
      <c r="K321" s="17"/>
      <c r="L321" s="17"/>
      <c r="M321" s="17"/>
      <c r="N321" s="16"/>
      <c r="O321" s="16"/>
      <c r="P321" s="16"/>
      <c r="Q321" s="18"/>
      <c r="R321" s="18"/>
      <c r="S321" s="16"/>
      <c r="T321" s="16"/>
      <c r="U321" s="17"/>
    </row>
    <row r="322" spans="1:21" ht="16.05" customHeight="1" x14ac:dyDescent="0.3">
      <c r="A322" s="16"/>
      <c r="B322" s="16"/>
      <c r="C322" s="17"/>
      <c r="D322" s="17"/>
      <c r="E322" s="16"/>
      <c r="F322" s="16"/>
      <c r="G322" s="16"/>
      <c r="H322" s="16"/>
      <c r="I322" s="17"/>
      <c r="J322" s="17"/>
      <c r="K322" s="17"/>
      <c r="L322" s="17"/>
      <c r="M322" s="17"/>
      <c r="N322" s="16"/>
      <c r="O322" s="16"/>
      <c r="P322" s="16"/>
      <c r="Q322" s="18"/>
      <c r="R322" s="18"/>
      <c r="S322" s="16"/>
      <c r="T322" s="16"/>
      <c r="U322" s="17"/>
    </row>
    <row r="323" spans="1:21" ht="16.05" customHeight="1" x14ac:dyDescent="0.3">
      <c r="A323" s="16"/>
      <c r="B323" s="16"/>
      <c r="C323" s="17"/>
      <c r="D323" s="17"/>
      <c r="E323" s="16"/>
      <c r="F323" s="16"/>
      <c r="G323" s="16"/>
      <c r="H323" s="16"/>
      <c r="I323" s="17"/>
      <c r="J323" s="17"/>
      <c r="K323" s="17"/>
      <c r="L323" s="17"/>
      <c r="M323" s="17"/>
      <c r="N323" s="16"/>
      <c r="O323" s="16"/>
      <c r="P323" s="16"/>
      <c r="Q323" s="18"/>
      <c r="R323" s="18"/>
      <c r="S323" s="16"/>
      <c r="T323" s="16"/>
      <c r="U323" s="17"/>
    </row>
    <row r="324" spans="1:21" ht="16.05" customHeight="1" x14ac:dyDescent="0.3">
      <c r="A324" s="16"/>
      <c r="B324" s="16"/>
      <c r="C324" s="17"/>
      <c r="D324" s="17"/>
      <c r="E324" s="16"/>
      <c r="F324" s="16"/>
      <c r="G324" s="16"/>
      <c r="H324" s="16"/>
      <c r="I324" s="17"/>
      <c r="J324" s="17"/>
      <c r="K324" s="17"/>
      <c r="L324" s="17"/>
      <c r="M324" s="17"/>
      <c r="N324" s="16"/>
      <c r="O324" s="16"/>
      <c r="P324" s="16"/>
      <c r="Q324" s="18"/>
      <c r="R324" s="18"/>
      <c r="S324" s="16"/>
      <c r="T324" s="16"/>
      <c r="U324" s="17"/>
    </row>
    <row r="325" spans="1:21" ht="16.05" customHeight="1" x14ac:dyDescent="0.3">
      <c r="A325" s="16"/>
      <c r="B325" s="16"/>
      <c r="C325" s="17"/>
      <c r="D325" s="17"/>
      <c r="E325" s="16"/>
      <c r="F325" s="16"/>
      <c r="G325" s="16"/>
      <c r="H325" s="16"/>
      <c r="I325" s="17"/>
      <c r="J325" s="17"/>
      <c r="K325" s="17"/>
      <c r="L325" s="17"/>
      <c r="M325" s="17"/>
      <c r="N325" s="16"/>
      <c r="O325" s="16"/>
      <c r="P325" s="16"/>
      <c r="Q325" s="18"/>
      <c r="R325" s="18"/>
      <c r="S325" s="16"/>
      <c r="T325" s="16"/>
      <c r="U325" s="17"/>
    </row>
    <row r="326" spans="1:21" ht="16.05" customHeight="1" x14ac:dyDescent="0.3">
      <c r="A326" s="16"/>
      <c r="B326" s="16"/>
      <c r="C326" s="17"/>
      <c r="D326" s="17"/>
      <c r="E326" s="16"/>
      <c r="F326" s="16"/>
      <c r="G326" s="16"/>
      <c r="H326" s="16"/>
      <c r="I326" s="17"/>
      <c r="J326" s="17"/>
      <c r="K326" s="17"/>
      <c r="L326" s="17"/>
      <c r="M326" s="17"/>
      <c r="N326" s="16"/>
      <c r="O326" s="16"/>
      <c r="P326" s="16"/>
      <c r="Q326" s="18"/>
      <c r="R326" s="18"/>
      <c r="S326" s="16"/>
      <c r="T326" s="16"/>
      <c r="U326" s="17"/>
    </row>
    <row r="327" spans="1:21" ht="16.05" customHeight="1" x14ac:dyDescent="0.3">
      <c r="A327" s="16"/>
      <c r="B327" s="16"/>
      <c r="C327" s="17"/>
      <c r="D327" s="17"/>
      <c r="E327" s="16"/>
      <c r="F327" s="16"/>
      <c r="G327" s="16"/>
      <c r="H327" s="16"/>
      <c r="I327" s="17"/>
      <c r="J327" s="17"/>
      <c r="K327" s="17"/>
      <c r="L327" s="17"/>
      <c r="M327" s="17"/>
      <c r="N327" s="16"/>
      <c r="O327" s="16"/>
      <c r="P327" s="16"/>
      <c r="Q327" s="18"/>
      <c r="R327" s="18"/>
      <c r="S327" s="16"/>
      <c r="T327" s="16"/>
      <c r="U327" s="17"/>
    </row>
    <row r="328" spans="1:21" ht="16.05" customHeight="1" x14ac:dyDescent="0.3">
      <c r="A328" s="16"/>
      <c r="B328" s="16"/>
      <c r="C328" s="17"/>
      <c r="D328" s="17"/>
      <c r="E328" s="16"/>
      <c r="F328" s="16"/>
      <c r="G328" s="16"/>
      <c r="H328" s="16"/>
      <c r="I328" s="17"/>
      <c r="J328" s="17"/>
      <c r="K328" s="17"/>
      <c r="L328" s="17"/>
      <c r="M328" s="17"/>
      <c r="N328" s="16"/>
      <c r="O328" s="16"/>
      <c r="P328" s="16"/>
      <c r="Q328" s="18"/>
      <c r="R328" s="18"/>
      <c r="S328" s="16"/>
      <c r="T328" s="16"/>
      <c r="U328" s="17"/>
    </row>
    <row r="329" spans="1:21" ht="16.05" customHeight="1" x14ac:dyDescent="0.3">
      <c r="A329" s="16"/>
      <c r="B329" s="16"/>
      <c r="C329" s="17"/>
      <c r="D329" s="17"/>
      <c r="E329" s="16"/>
      <c r="F329" s="16"/>
      <c r="G329" s="16"/>
      <c r="H329" s="16"/>
      <c r="I329" s="17"/>
      <c r="J329" s="17"/>
      <c r="K329" s="17"/>
      <c r="L329" s="17"/>
      <c r="M329" s="17"/>
      <c r="N329" s="16"/>
      <c r="O329" s="16"/>
      <c r="P329" s="16"/>
      <c r="Q329" s="18"/>
      <c r="R329" s="18"/>
      <c r="S329" s="16"/>
      <c r="T329" s="16"/>
      <c r="U329" s="17"/>
    </row>
    <row r="330" spans="1:21" ht="16.05" customHeight="1" x14ac:dyDescent="0.3">
      <c r="A330" s="16"/>
      <c r="B330" s="16"/>
      <c r="C330" s="17"/>
      <c r="D330" s="17"/>
      <c r="E330" s="16"/>
      <c r="F330" s="16"/>
      <c r="G330" s="16"/>
      <c r="H330" s="16"/>
      <c r="I330" s="17"/>
      <c r="J330" s="17"/>
      <c r="K330" s="17"/>
      <c r="L330" s="17"/>
      <c r="M330" s="17"/>
      <c r="N330" s="16"/>
      <c r="O330" s="16"/>
      <c r="P330" s="16"/>
      <c r="Q330" s="18"/>
      <c r="R330" s="18"/>
      <c r="S330" s="16"/>
      <c r="T330" s="16"/>
      <c r="U330" s="17"/>
    </row>
    <row r="331" spans="1:21" ht="16.05" customHeight="1" x14ac:dyDescent="0.3">
      <c r="A331" s="16"/>
      <c r="B331" s="16"/>
      <c r="C331" s="17"/>
      <c r="D331" s="17"/>
      <c r="E331" s="16"/>
      <c r="F331" s="16"/>
      <c r="G331" s="16"/>
      <c r="H331" s="16"/>
      <c r="I331" s="17"/>
      <c r="J331" s="17"/>
      <c r="K331" s="17"/>
      <c r="L331" s="17"/>
      <c r="M331" s="17"/>
      <c r="N331" s="16"/>
      <c r="O331" s="16"/>
      <c r="P331" s="16"/>
      <c r="Q331" s="18"/>
      <c r="R331" s="18"/>
      <c r="S331" s="16"/>
      <c r="T331" s="16"/>
      <c r="U331" s="17"/>
    </row>
    <row r="332" spans="1:21" ht="16.05" customHeight="1" x14ac:dyDescent="0.3">
      <c r="A332" s="16"/>
      <c r="B332" s="16"/>
      <c r="C332" s="17"/>
      <c r="D332" s="17"/>
      <c r="E332" s="16"/>
      <c r="F332" s="16"/>
      <c r="G332" s="16"/>
      <c r="H332" s="16"/>
      <c r="I332" s="17"/>
      <c r="J332" s="17"/>
      <c r="K332" s="17"/>
      <c r="L332" s="17"/>
      <c r="M332" s="17"/>
      <c r="N332" s="16"/>
      <c r="O332" s="16"/>
      <c r="P332" s="16"/>
      <c r="Q332" s="18"/>
      <c r="R332" s="18"/>
      <c r="S332" s="16"/>
      <c r="T332" s="16"/>
      <c r="U332" s="17"/>
    </row>
    <row r="333" spans="1:21" ht="16.05" customHeight="1" x14ac:dyDescent="0.3">
      <c r="A333" s="16"/>
      <c r="B333" s="16"/>
      <c r="C333" s="17"/>
      <c r="D333" s="17"/>
      <c r="E333" s="16"/>
      <c r="F333" s="16"/>
      <c r="G333" s="16"/>
      <c r="H333" s="16"/>
      <c r="I333" s="17"/>
      <c r="J333" s="17"/>
      <c r="K333" s="17"/>
      <c r="L333" s="17"/>
      <c r="M333" s="17"/>
      <c r="N333" s="16"/>
      <c r="O333" s="16"/>
      <c r="P333" s="16"/>
      <c r="Q333" s="18"/>
      <c r="R333" s="18"/>
      <c r="S333" s="16"/>
      <c r="T333" s="16"/>
      <c r="U333" s="17"/>
    </row>
    <row r="334" spans="1:21" ht="16.05" customHeight="1" x14ac:dyDescent="0.3">
      <c r="A334" s="16"/>
      <c r="B334" s="16"/>
      <c r="C334" s="17"/>
      <c r="D334" s="17"/>
      <c r="E334" s="16"/>
      <c r="F334" s="16"/>
      <c r="G334" s="16"/>
      <c r="H334" s="16"/>
      <c r="I334" s="17"/>
      <c r="J334" s="17"/>
      <c r="K334" s="17"/>
      <c r="L334" s="17"/>
      <c r="M334" s="17"/>
      <c r="N334" s="16"/>
      <c r="O334" s="16"/>
      <c r="P334" s="16"/>
      <c r="Q334" s="18"/>
      <c r="R334" s="18"/>
      <c r="S334" s="16"/>
      <c r="T334" s="16"/>
      <c r="U334" s="17"/>
    </row>
    <row r="335" spans="1:21" ht="16.05" customHeight="1" x14ac:dyDescent="0.3">
      <c r="A335" s="16"/>
      <c r="B335" s="16"/>
      <c r="C335" s="17"/>
      <c r="D335" s="17"/>
      <c r="E335" s="16"/>
      <c r="F335" s="16"/>
      <c r="G335" s="16"/>
      <c r="H335" s="16"/>
      <c r="I335" s="17"/>
      <c r="J335" s="17"/>
      <c r="K335" s="17"/>
      <c r="L335" s="17"/>
      <c r="M335" s="17"/>
      <c r="N335" s="16"/>
      <c r="O335" s="16"/>
      <c r="P335" s="16"/>
      <c r="Q335" s="18"/>
      <c r="R335" s="18"/>
      <c r="S335" s="16"/>
      <c r="T335" s="16"/>
      <c r="U335" s="17"/>
    </row>
    <row r="336" spans="1:21" ht="16.05" customHeight="1" x14ac:dyDescent="0.3">
      <c r="A336" s="16"/>
      <c r="B336" s="16"/>
      <c r="C336" s="17"/>
      <c r="D336" s="17"/>
      <c r="E336" s="16"/>
      <c r="F336" s="16"/>
      <c r="G336" s="16"/>
      <c r="H336" s="16"/>
      <c r="I336" s="17"/>
      <c r="J336" s="17"/>
      <c r="K336" s="17"/>
      <c r="L336" s="17"/>
      <c r="M336" s="17"/>
      <c r="N336" s="16"/>
      <c r="O336" s="16"/>
      <c r="P336" s="16"/>
      <c r="Q336" s="18"/>
      <c r="R336" s="18"/>
      <c r="S336" s="16"/>
      <c r="T336" s="16"/>
      <c r="U336" s="17"/>
    </row>
    <row r="337" spans="1:21" ht="16.05" customHeight="1" x14ac:dyDescent="0.3">
      <c r="A337" s="16"/>
      <c r="B337" s="16"/>
      <c r="C337" s="17"/>
      <c r="D337" s="17"/>
      <c r="E337" s="16"/>
      <c r="F337" s="16"/>
      <c r="G337" s="16"/>
      <c r="H337" s="16"/>
      <c r="I337" s="17"/>
      <c r="J337" s="17"/>
      <c r="K337" s="17"/>
      <c r="L337" s="17"/>
      <c r="M337" s="17"/>
      <c r="N337" s="16"/>
      <c r="O337" s="16"/>
      <c r="P337" s="16"/>
      <c r="Q337" s="18"/>
      <c r="R337" s="18"/>
      <c r="S337" s="16"/>
      <c r="T337" s="16"/>
      <c r="U337" s="17"/>
    </row>
    <row r="338" spans="1:21" ht="16.05" customHeight="1" x14ac:dyDescent="0.3">
      <c r="A338" s="16"/>
      <c r="B338" s="16"/>
      <c r="C338" s="17"/>
      <c r="D338" s="17"/>
      <c r="E338" s="16"/>
      <c r="F338" s="16"/>
      <c r="G338" s="16"/>
      <c r="H338" s="16"/>
      <c r="I338" s="17"/>
      <c r="J338" s="17"/>
      <c r="K338" s="17"/>
      <c r="L338" s="17"/>
      <c r="M338" s="17"/>
      <c r="N338" s="16"/>
      <c r="O338" s="16"/>
      <c r="P338" s="16"/>
      <c r="Q338" s="18"/>
      <c r="R338" s="18"/>
      <c r="S338" s="16"/>
      <c r="T338" s="16"/>
      <c r="U338" s="17"/>
    </row>
    <row r="339" spans="1:21" ht="16.05" customHeight="1" x14ac:dyDescent="0.3">
      <c r="A339" s="16"/>
      <c r="B339" s="16"/>
      <c r="C339" s="17"/>
      <c r="D339" s="17"/>
      <c r="E339" s="16"/>
      <c r="F339" s="16"/>
      <c r="G339" s="16"/>
      <c r="H339" s="16"/>
      <c r="I339" s="17"/>
      <c r="J339" s="17"/>
      <c r="K339" s="17"/>
      <c r="L339" s="17"/>
      <c r="M339" s="17"/>
      <c r="N339" s="16"/>
      <c r="O339" s="16"/>
      <c r="P339" s="16"/>
      <c r="Q339" s="18"/>
      <c r="R339" s="18"/>
      <c r="S339" s="16"/>
      <c r="T339" s="16"/>
      <c r="U339" s="17"/>
    </row>
    <row r="340" spans="1:21" ht="16.05" customHeight="1" x14ac:dyDescent="0.3">
      <c r="A340" s="16"/>
      <c r="B340" s="16"/>
      <c r="C340" s="17"/>
      <c r="D340" s="17"/>
      <c r="E340" s="16"/>
      <c r="F340" s="16"/>
      <c r="G340" s="16"/>
      <c r="H340" s="16"/>
      <c r="I340" s="17"/>
      <c r="J340" s="17"/>
      <c r="K340" s="17"/>
      <c r="L340" s="17"/>
      <c r="M340" s="17"/>
      <c r="N340" s="16"/>
      <c r="O340" s="16"/>
      <c r="P340" s="16"/>
      <c r="Q340" s="18"/>
      <c r="R340" s="18"/>
      <c r="S340" s="16"/>
      <c r="T340" s="16"/>
      <c r="U340" s="17"/>
    </row>
    <row r="341" spans="1:21" ht="16.05" customHeight="1" x14ac:dyDescent="0.3">
      <c r="A341" s="16"/>
      <c r="B341" s="16"/>
      <c r="C341" s="17"/>
      <c r="D341" s="17"/>
      <c r="E341" s="16"/>
      <c r="F341" s="16"/>
      <c r="G341" s="16"/>
      <c r="H341" s="16"/>
      <c r="I341" s="17"/>
      <c r="J341" s="17"/>
      <c r="K341" s="17"/>
      <c r="L341" s="17"/>
      <c r="M341" s="17"/>
      <c r="N341" s="16"/>
      <c r="O341" s="16"/>
      <c r="P341" s="16"/>
      <c r="Q341" s="18"/>
      <c r="R341" s="18"/>
      <c r="S341" s="16"/>
      <c r="T341" s="16"/>
      <c r="U341" s="17"/>
    </row>
    <row r="342" spans="1:21" ht="16.05" customHeight="1" x14ac:dyDescent="0.3">
      <c r="A342" s="16"/>
      <c r="B342" s="16"/>
      <c r="C342" s="17"/>
      <c r="D342" s="17"/>
      <c r="E342" s="16"/>
      <c r="F342" s="16"/>
      <c r="G342" s="16"/>
      <c r="H342" s="16"/>
      <c r="I342" s="17"/>
      <c r="J342" s="17"/>
      <c r="K342" s="17"/>
      <c r="L342" s="17"/>
      <c r="M342" s="17"/>
      <c r="N342" s="16"/>
      <c r="O342" s="16"/>
      <c r="P342" s="16"/>
      <c r="Q342" s="18"/>
      <c r="R342" s="18"/>
      <c r="S342" s="16"/>
      <c r="T342" s="16"/>
      <c r="U342" s="17"/>
    </row>
    <row r="343" spans="1:21" ht="16.05" customHeight="1" x14ac:dyDescent="0.3">
      <c r="A343" s="16"/>
      <c r="B343" s="16"/>
      <c r="C343" s="17"/>
      <c r="D343" s="17"/>
      <c r="E343" s="16"/>
      <c r="F343" s="16"/>
      <c r="G343" s="16"/>
      <c r="H343" s="16"/>
      <c r="I343" s="17"/>
      <c r="J343" s="17"/>
      <c r="K343" s="17"/>
      <c r="L343" s="17"/>
      <c r="M343" s="17"/>
      <c r="N343" s="16"/>
      <c r="O343" s="16"/>
      <c r="P343" s="16"/>
      <c r="Q343" s="18"/>
      <c r="R343" s="18"/>
      <c r="S343" s="16"/>
      <c r="T343" s="16"/>
      <c r="U343" s="17"/>
    </row>
    <row r="344" spans="1:21" ht="16.05" customHeight="1" x14ac:dyDescent="0.3">
      <c r="A344" s="16"/>
      <c r="B344" s="16"/>
      <c r="C344" s="17"/>
      <c r="D344" s="17"/>
      <c r="E344" s="16"/>
      <c r="F344" s="16"/>
      <c r="G344" s="16"/>
      <c r="H344" s="16"/>
      <c r="I344" s="17"/>
      <c r="J344" s="17"/>
      <c r="K344" s="17"/>
      <c r="L344" s="17"/>
      <c r="M344" s="17"/>
      <c r="N344" s="16"/>
      <c r="O344" s="16"/>
      <c r="P344" s="16"/>
      <c r="Q344" s="18"/>
      <c r="R344" s="18"/>
      <c r="S344" s="16"/>
      <c r="T344" s="16"/>
      <c r="U344" s="17"/>
    </row>
    <row r="345" spans="1:21" ht="16.05" customHeight="1" x14ac:dyDescent="0.3">
      <c r="A345" s="16"/>
      <c r="B345" s="16"/>
      <c r="C345" s="17"/>
      <c r="D345" s="17"/>
      <c r="E345" s="16"/>
      <c r="F345" s="16"/>
      <c r="G345" s="16"/>
      <c r="H345" s="16"/>
      <c r="I345" s="17"/>
      <c r="J345" s="17"/>
      <c r="K345" s="17"/>
      <c r="L345" s="17"/>
      <c r="M345" s="17"/>
      <c r="N345" s="16"/>
      <c r="O345" s="16"/>
      <c r="P345" s="16"/>
      <c r="Q345" s="18"/>
      <c r="R345" s="18"/>
      <c r="S345" s="16"/>
      <c r="T345" s="16"/>
      <c r="U345" s="17"/>
    </row>
    <row r="346" spans="1:21" ht="16.05" customHeight="1" x14ac:dyDescent="0.3">
      <c r="A346" s="16"/>
      <c r="B346" s="16"/>
      <c r="C346" s="17"/>
      <c r="D346" s="17"/>
      <c r="E346" s="16"/>
      <c r="F346" s="16"/>
      <c r="G346" s="16"/>
      <c r="H346" s="16"/>
      <c r="I346" s="17"/>
      <c r="J346" s="17"/>
      <c r="K346" s="17"/>
      <c r="L346" s="17"/>
      <c r="M346" s="17"/>
      <c r="N346" s="16"/>
      <c r="O346" s="16"/>
      <c r="P346" s="16"/>
      <c r="Q346" s="18"/>
      <c r="R346" s="18"/>
      <c r="S346" s="16"/>
      <c r="T346" s="16"/>
      <c r="U346" s="17"/>
    </row>
    <row r="347" spans="1:21" ht="16.05" customHeight="1" x14ac:dyDescent="0.3">
      <c r="A347" s="16"/>
      <c r="B347" s="16"/>
      <c r="C347" s="17"/>
      <c r="D347" s="17"/>
      <c r="E347" s="16"/>
      <c r="F347" s="16"/>
      <c r="G347" s="16"/>
      <c r="H347" s="16"/>
      <c r="I347" s="17"/>
      <c r="J347" s="17"/>
      <c r="K347" s="17"/>
      <c r="L347" s="17"/>
      <c r="M347" s="17"/>
      <c r="N347" s="16"/>
      <c r="O347" s="16"/>
      <c r="P347" s="16"/>
      <c r="Q347" s="18"/>
      <c r="R347" s="18"/>
      <c r="S347" s="16"/>
      <c r="T347" s="16"/>
      <c r="U347" s="17"/>
    </row>
    <row r="348" spans="1:21" ht="16.05" customHeight="1" x14ac:dyDescent="0.3">
      <c r="A348" s="16"/>
      <c r="B348" s="16"/>
      <c r="C348" s="17"/>
      <c r="D348" s="17"/>
      <c r="E348" s="16"/>
      <c r="F348" s="16"/>
      <c r="G348" s="16"/>
      <c r="H348" s="16"/>
      <c r="I348" s="17"/>
      <c r="J348" s="17"/>
      <c r="K348" s="17"/>
      <c r="L348" s="17"/>
      <c r="M348" s="17"/>
      <c r="N348" s="16"/>
      <c r="O348" s="16"/>
      <c r="P348" s="16"/>
      <c r="Q348" s="18"/>
      <c r="R348" s="18"/>
      <c r="S348" s="16"/>
      <c r="T348" s="16"/>
      <c r="U348" s="17"/>
    </row>
    <row r="349" spans="1:21" ht="16.05" customHeight="1" x14ac:dyDescent="0.3">
      <c r="A349" s="16"/>
      <c r="B349" s="16"/>
      <c r="C349" s="17"/>
      <c r="D349" s="17"/>
      <c r="E349" s="16"/>
      <c r="F349" s="16"/>
      <c r="G349" s="16"/>
      <c r="H349" s="16"/>
      <c r="I349" s="17"/>
      <c r="J349" s="17"/>
      <c r="K349" s="17"/>
      <c r="L349" s="17"/>
      <c r="M349" s="17"/>
      <c r="N349" s="16"/>
      <c r="O349" s="16"/>
      <c r="P349" s="16"/>
      <c r="Q349" s="18"/>
      <c r="R349" s="18"/>
      <c r="S349" s="16"/>
      <c r="T349" s="16"/>
      <c r="U349" s="17"/>
    </row>
    <row r="350" spans="1:21" ht="16.05" customHeight="1" x14ac:dyDescent="0.3">
      <c r="A350" s="16"/>
      <c r="B350" s="16"/>
      <c r="C350" s="17"/>
      <c r="D350" s="17"/>
      <c r="E350" s="16"/>
      <c r="F350" s="16"/>
      <c r="G350" s="16"/>
      <c r="H350" s="16"/>
      <c r="I350" s="17"/>
      <c r="J350" s="17"/>
      <c r="K350" s="17"/>
      <c r="L350" s="17"/>
      <c r="M350" s="17"/>
      <c r="N350" s="16"/>
      <c r="O350" s="16"/>
      <c r="P350" s="16"/>
      <c r="Q350" s="18"/>
      <c r="R350" s="18"/>
      <c r="S350" s="16"/>
      <c r="T350" s="16"/>
      <c r="U350" s="17"/>
    </row>
    <row r="351" spans="1:21" ht="16.05" customHeight="1" x14ac:dyDescent="0.3">
      <c r="A351" s="16"/>
      <c r="B351" s="16"/>
      <c r="C351" s="17"/>
      <c r="D351" s="17"/>
      <c r="E351" s="16"/>
      <c r="F351" s="16"/>
      <c r="G351" s="16"/>
      <c r="H351" s="16"/>
      <c r="I351" s="17"/>
      <c r="J351" s="17"/>
      <c r="K351" s="17"/>
      <c r="L351" s="17"/>
      <c r="M351" s="17"/>
      <c r="N351" s="16"/>
      <c r="O351" s="16"/>
      <c r="P351" s="16"/>
      <c r="Q351" s="18"/>
      <c r="R351" s="18"/>
      <c r="S351" s="16"/>
      <c r="T351" s="16"/>
      <c r="U351" s="17"/>
    </row>
    <row r="352" spans="1:21" ht="16.05" customHeight="1" x14ac:dyDescent="0.3">
      <c r="A352" s="16"/>
      <c r="B352" s="16"/>
      <c r="C352" s="17"/>
      <c r="D352" s="17"/>
      <c r="E352" s="16"/>
      <c r="F352" s="16"/>
      <c r="G352" s="16"/>
      <c r="H352" s="16"/>
      <c r="I352" s="17"/>
      <c r="J352" s="17"/>
      <c r="K352" s="17"/>
      <c r="L352" s="17"/>
      <c r="M352" s="17"/>
      <c r="N352" s="16"/>
      <c r="O352" s="16"/>
      <c r="P352" s="16"/>
      <c r="Q352" s="18"/>
      <c r="R352" s="18"/>
      <c r="S352" s="16"/>
      <c r="T352" s="16"/>
      <c r="U352" s="17"/>
    </row>
    <row r="353" spans="1:21" ht="16.05" customHeight="1" x14ac:dyDescent="0.3">
      <c r="A353" s="16"/>
      <c r="B353" s="16"/>
      <c r="C353" s="17"/>
      <c r="D353" s="17"/>
      <c r="E353" s="16"/>
      <c r="F353" s="16"/>
      <c r="G353" s="16"/>
      <c r="H353" s="16"/>
      <c r="I353" s="17"/>
      <c r="J353" s="17"/>
      <c r="K353" s="17"/>
      <c r="L353" s="17"/>
      <c r="M353" s="17"/>
      <c r="N353" s="16"/>
      <c r="O353" s="16"/>
      <c r="P353" s="16"/>
      <c r="Q353" s="18"/>
      <c r="R353" s="18"/>
      <c r="S353" s="16"/>
      <c r="T353" s="16"/>
      <c r="U353" s="17"/>
    </row>
    <row r="354" spans="1:21" ht="16.05" customHeight="1" x14ac:dyDescent="0.3">
      <c r="A354" s="16"/>
      <c r="B354" s="16"/>
      <c r="C354" s="17"/>
      <c r="D354" s="17"/>
      <c r="E354" s="16"/>
      <c r="F354" s="16"/>
      <c r="G354" s="16"/>
      <c r="H354" s="16"/>
      <c r="I354" s="17"/>
      <c r="J354" s="17"/>
      <c r="K354" s="17"/>
      <c r="L354" s="17"/>
      <c r="M354" s="17"/>
      <c r="N354" s="16"/>
      <c r="O354" s="16"/>
      <c r="P354" s="16"/>
      <c r="Q354" s="18"/>
      <c r="R354" s="18"/>
      <c r="S354" s="16"/>
      <c r="T354" s="16"/>
      <c r="U354" s="17"/>
    </row>
    <row r="355" spans="1:21" ht="16.05" customHeight="1" x14ac:dyDescent="0.3">
      <c r="A355" s="16"/>
      <c r="B355" s="16"/>
      <c r="C355" s="17"/>
      <c r="D355" s="17"/>
      <c r="E355" s="16"/>
      <c r="F355" s="16"/>
      <c r="G355" s="16"/>
      <c r="H355" s="16"/>
      <c r="I355" s="17"/>
      <c r="J355" s="17"/>
      <c r="K355" s="17"/>
      <c r="L355" s="17"/>
      <c r="M355" s="17"/>
      <c r="N355" s="16"/>
      <c r="O355" s="16"/>
      <c r="P355" s="16"/>
      <c r="Q355" s="18"/>
      <c r="R355" s="18"/>
      <c r="S355" s="16"/>
      <c r="T355" s="16"/>
      <c r="U355" s="17"/>
    </row>
    <row r="356" spans="1:21" ht="16.05" customHeight="1" x14ac:dyDescent="0.3">
      <c r="A356" s="16"/>
      <c r="B356" s="16"/>
      <c r="C356" s="17"/>
      <c r="D356" s="17"/>
      <c r="E356" s="16"/>
      <c r="F356" s="16"/>
      <c r="G356" s="16"/>
      <c r="H356" s="16"/>
      <c r="I356" s="17"/>
      <c r="J356" s="17"/>
      <c r="K356" s="17"/>
      <c r="L356" s="17"/>
      <c r="M356" s="17"/>
      <c r="N356" s="16"/>
      <c r="O356" s="16"/>
      <c r="P356" s="16"/>
      <c r="Q356" s="18"/>
      <c r="R356" s="18"/>
      <c r="S356" s="16"/>
      <c r="T356" s="16"/>
      <c r="U356" s="17"/>
    </row>
    <row r="357" spans="1:21" ht="16.05" customHeight="1" x14ac:dyDescent="0.3">
      <c r="A357" s="16"/>
      <c r="B357" s="16"/>
      <c r="C357" s="17"/>
      <c r="D357" s="17"/>
      <c r="E357" s="16"/>
      <c r="F357" s="16"/>
      <c r="G357" s="16"/>
      <c r="H357" s="16"/>
      <c r="I357" s="17"/>
      <c r="J357" s="17"/>
      <c r="K357" s="17"/>
      <c r="L357" s="17"/>
      <c r="M357" s="17"/>
      <c r="N357" s="16"/>
      <c r="O357" s="16"/>
      <c r="P357" s="16"/>
      <c r="Q357" s="18"/>
      <c r="R357" s="18"/>
      <c r="S357" s="16"/>
      <c r="T357" s="16"/>
      <c r="U357" s="17"/>
    </row>
    <row r="358" spans="1:21" ht="16.05" customHeight="1" x14ac:dyDescent="0.3">
      <c r="A358" s="16"/>
      <c r="B358" s="16"/>
      <c r="C358" s="17"/>
      <c r="D358" s="17"/>
      <c r="E358" s="16"/>
      <c r="F358" s="16"/>
      <c r="G358" s="16"/>
      <c r="H358" s="16"/>
      <c r="I358" s="17"/>
      <c r="J358" s="17"/>
      <c r="K358" s="17"/>
      <c r="L358" s="17"/>
      <c r="M358" s="17"/>
      <c r="N358" s="16"/>
      <c r="O358" s="16"/>
      <c r="P358" s="16"/>
      <c r="Q358" s="18"/>
      <c r="R358" s="18"/>
      <c r="S358" s="16"/>
      <c r="T358" s="16"/>
      <c r="U358" s="17"/>
    </row>
    <row r="359" spans="1:21" ht="16.05" customHeight="1" x14ac:dyDescent="0.3">
      <c r="A359" s="16"/>
      <c r="B359" s="16"/>
      <c r="C359" s="17"/>
      <c r="D359" s="17"/>
      <c r="E359" s="16"/>
      <c r="F359" s="16"/>
      <c r="G359" s="16"/>
      <c r="H359" s="16"/>
      <c r="I359" s="17"/>
      <c r="J359" s="17"/>
      <c r="K359" s="17"/>
      <c r="L359" s="17"/>
      <c r="M359" s="17"/>
      <c r="N359" s="16"/>
      <c r="O359" s="16"/>
      <c r="P359" s="16"/>
      <c r="Q359" s="18"/>
      <c r="R359" s="18"/>
      <c r="S359" s="16"/>
      <c r="T359" s="16"/>
      <c r="U359" s="17"/>
    </row>
    <row r="360" spans="1:21" ht="16.05" customHeight="1" x14ac:dyDescent="0.3">
      <c r="A360" s="16"/>
      <c r="B360" s="16"/>
      <c r="C360" s="17"/>
      <c r="D360" s="17"/>
      <c r="E360" s="16"/>
      <c r="F360" s="16"/>
      <c r="G360" s="16"/>
      <c r="H360" s="16"/>
      <c r="I360" s="17"/>
      <c r="J360" s="17"/>
      <c r="K360" s="17"/>
      <c r="L360" s="17"/>
      <c r="M360" s="17"/>
      <c r="N360" s="16"/>
      <c r="O360" s="16"/>
      <c r="P360" s="16"/>
      <c r="Q360" s="18"/>
      <c r="R360" s="18"/>
      <c r="S360" s="16"/>
      <c r="T360" s="16"/>
      <c r="U360" s="17"/>
    </row>
    <row r="361" spans="1:21" ht="16.05" customHeight="1" x14ac:dyDescent="0.3">
      <c r="A361" s="16"/>
      <c r="B361" s="16"/>
      <c r="C361" s="17"/>
      <c r="D361" s="17"/>
      <c r="E361" s="16"/>
      <c r="F361" s="16"/>
      <c r="G361" s="16"/>
      <c r="H361" s="16"/>
      <c r="I361" s="17"/>
      <c r="J361" s="17"/>
      <c r="K361" s="17"/>
      <c r="L361" s="17"/>
      <c r="M361" s="17"/>
      <c r="N361" s="16"/>
      <c r="O361" s="16"/>
      <c r="P361" s="16"/>
      <c r="Q361" s="18"/>
      <c r="R361" s="18"/>
      <c r="S361" s="16"/>
      <c r="T361" s="16"/>
      <c r="U361" s="17"/>
    </row>
    <row r="362" spans="1:21" ht="16.05" customHeight="1" x14ac:dyDescent="0.3">
      <c r="A362" s="16"/>
      <c r="B362" s="16"/>
      <c r="C362" s="17"/>
      <c r="D362" s="17"/>
      <c r="E362" s="16"/>
      <c r="F362" s="16"/>
      <c r="G362" s="16"/>
      <c r="H362" s="16"/>
      <c r="I362" s="17"/>
      <c r="J362" s="17"/>
      <c r="K362" s="17"/>
      <c r="L362" s="17"/>
      <c r="M362" s="17"/>
      <c r="N362" s="16"/>
      <c r="O362" s="16"/>
      <c r="P362" s="16"/>
      <c r="Q362" s="18"/>
      <c r="R362" s="18"/>
      <c r="S362" s="16"/>
      <c r="T362" s="16"/>
      <c r="U362" s="17"/>
    </row>
    <row r="363" spans="1:21" ht="16.05" customHeight="1" x14ac:dyDescent="0.3">
      <c r="A363" s="16"/>
      <c r="B363" s="16"/>
      <c r="C363" s="17"/>
      <c r="D363" s="17"/>
      <c r="E363" s="16"/>
      <c r="F363" s="16"/>
      <c r="G363" s="16"/>
      <c r="H363" s="16"/>
      <c r="I363" s="17"/>
      <c r="J363" s="17"/>
      <c r="K363" s="17"/>
      <c r="L363" s="17"/>
      <c r="M363" s="17"/>
      <c r="N363" s="16"/>
      <c r="O363" s="16"/>
      <c r="P363" s="16"/>
      <c r="Q363" s="18"/>
      <c r="R363" s="18"/>
      <c r="S363" s="16"/>
      <c r="T363" s="16"/>
      <c r="U363" s="17"/>
    </row>
    <row r="364" spans="1:21" ht="16.05" customHeight="1" x14ac:dyDescent="0.3">
      <c r="A364" s="16"/>
      <c r="B364" s="16"/>
      <c r="C364" s="17"/>
      <c r="D364" s="17"/>
      <c r="E364" s="16"/>
      <c r="F364" s="16"/>
      <c r="G364" s="16"/>
      <c r="H364" s="16"/>
      <c r="I364" s="17"/>
      <c r="J364" s="17"/>
      <c r="K364" s="17"/>
      <c r="L364" s="17"/>
      <c r="M364" s="17"/>
      <c r="N364" s="16"/>
      <c r="O364" s="16"/>
      <c r="P364" s="16"/>
      <c r="Q364" s="18"/>
      <c r="R364" s="18"/>
      <c r="S364" s="16"/>
      <c r="T364" s="16"/>
      <c r="U364" s="17"/>
    </row>
    <row r="365" spans="1:21" ht="16.05" customHeight="1" x14ac:dyDescent="0.3">
      <c r="A365" s="16"/>
      <c r="B365" s="16"/>
      <c r="C365" s="17"/>
      <c r="D365" s="17"/>
      <c r="E365" s="16"/>
      <c r="F365" s="16"/>
      <c r="G365" s="16"/>
      <c r="H365" s="16"/>
      <c r="I365" s="17"/>
      <c r="J365" s="17"/>
      <c r="K365" s="17"/>
      <c r="L365" s="17"/>
      <c r="M365" s="17"/>
      <c r="N365" s="16"/>
      <c r="O365" s="16"/>
      <c r="P365" s="16"/>
      <c r="Q365" s="18"/>
      <c r="R365" s="18"/>
      <c r="S365" s="16"/>
      <c r="T365" s="16"/>
      <c r="U365" s="17"/>
    </row>
    <row r="366" spans="1:21" ht="16.05" customHeight="1" x14ac:dyDescent="0.3">
      <c r="A366" s="16"/>
      <c r="B366" s="16"/>
      <c r="C366" s="17"/>
      <c r="D366" s="17"/>
      <c r="E366" s="16"/>
      <c r="F366" s="16"/>
      <c r="G366" s="16"/>
      <c r="H366" s="16"/>
      <c r="I366" s="17"/>
      <c r="J366" s="17"/>
      <c r="K366" s="17"/>
      <c r="L366" s="17"/>
      <c r="M366" s="17"/>
      <c r="N366" s="16"/>
      <c r="O366" s="16"/>
      <c r="P366" s="16"/>
      <c r="Q366" s="18"/>
      <c r="R366" s="18"/>
      <c r="S366" s="16"/>
      <c r="T366" s="16"/>
      <c r="U366" s="17"/>
    </row>
    <row r="367" spans="1:21" ht="16.05" customHeight="1" x14ac:dyDescent="0.3">
      <c r="A367" s="16"/>
      <c r="B367" s="16"/>
      <c r="C367" s="17"/>
      <c r="D367" s="17"/>
      <c r="E367" s="16"/>
      <c r="F367" s="16"/>
      <c r="G367" s="16"/>
      <c r="H367" s="16"/>
      <c r="I367" s="17"/>
      <c r="J367" s="17"/>
      <c r="K367" s="17"/>
      <c r="L367" s="17"/>
      <c r="M367" s="17"/>
      <c r="N367" s="16"/>
      <c r="O367" s="16"/>
      <c r="P367" s="16"/>
      <c r="Q367" s="18"/>
      <c r="R367" s="18"/>
      <c r="S367" s="16"/>
      <c r="T367" s="16"/>
      <c r="U367" s="17"/>
    </row>
    <row r="368" spans="1:21" ht="16.05" customHeight="1" x14ac:dyDescent="0.3">
      <c r="A368" s="16"/>
      <c r="B368" s="16"/>
      <c r="C368" s="17"/>
      <c r="D368" s="17"/>
      <c r="E368" s="16"/>
      <c r="F368" s="16"/>
      <c r="G368" s="16"/>
      <c r="H368" s="16"/>
      <c r="I368" s="17"/>
      <c r="J368" s="17"/>
      <c r="K368" s="17"/>
      <c r="L368" s="17"/>
      <c r="M368" s="17"/>
      <c r="N368" s="16"/>
      <c r="O368" s="16"/>
      <c r="P368" s="16"/>
      <c r="Q368" s="18"/>
      <c r="R368" s="18"/>
      <c r="S368" s="16"/>
      <c r="T368" s="16"/>
      <c r="U368" s="17"/>
    </row>
    <row r="369" spans="1:21" ht="16.05" customHeight="1" x14ac:dyDescent="0.3">
      <c r="A369" s="16"/>
      <c r="B369" s="16"/>
      <c r="C369" s="17"/>
      <c r="D369" s="17"/>
      <c r="E369" s="16"/>
      <c r="F369" s="16"/>
      <c r="G369" s="16"/>
      <c r="H369" s="16"/>
      <c r="I369" s="17"/>
      <c r="J369" s="17"/>
      <c r="K369" s="17"/>
      <c r="L369" s="17"/>
      <c r="M369" s="17"/>
      <c r="N369" s="16"/>
      <c r="O369" s="16"/>
      <c r="P369" s="16"/>
      <c r="Q369" s="18"/>
      <c r="R369" s="18"/>
      <c r="S369" s="16"/>
      <c r="T369" s="16"/>
      <c r="U369" s="17"/>
    </row>
    <row r="370" spans="1:21" ht="16.05" customHeight="1" x14ac:dyDescent="0.3">
      <c r="A370" s="16"/>
      <c r="B370" s="16"/>
      <c r="C370" s="17"/>
      <c r="D370" s="17"/>
      <c r="E370" s="16"/>
      <c r="F370" s="16"/>
      <c r="G370" s="16"/>
      <c r="H370" s="16"/>
      <c r="I370" s="17"/>
      <c r="J370" s="17"/>
      <c r="K370" s="17"/>
      <c r="L370" s="17"/>
      <c r="M370" s="17"/>
      <c r="N370" s="16"/>
      <c r="O370" s="16"/>
      <c r="P370" s="16"/>
      <c r="Q370" s="18"/>
      <c r="R370" s="18"/>
      <c r="S370" s="16"/>
      <c r="T370" s="16"/>
      <c r="U370" s="17"/>
    </row>
    <row r="371" spans="1:21" ht="16.05" customHeight="1" x14ac:dyDescent="0.3">
      <c r="A371" s="16"/>
      <c r="B371" s="16"/>
      <c r="C371" s="17"/>
      <c r="D371" s="17"/>
      <c r="E371" s="16"/>
      <c r="F371" s="16"/>
      <c r="G371" s="16"/>
      <c r="H371" s="16"/>
      <c r="I371" s="17"/>
      <c r="J371" s="17"/>
      <c r="K371" s="17"/>
      <c r="L371" s="17"/>
      <c r="M371" s="17"/>
      <c r="N371" s="16"/>
      <c r="O371" s="16"/>
      <c r="P371" s="16"/>
      <c r="Q371" s="18"/>
      <c r="R371" s="18"/>
      <c r="S371" s="16"/>
      <c r="T371" s="16"/>
      <c r="U371" s="17"/>
    </row>
    <row r="372" spans="1:21" ht="16.05" customHeight="1" x14ac:dyDescent="0.3">
      <c r="A372" s="16"/>
      <c r="B372" s="16"/>
      <c r="C372" s="17"/>
      <c r="D372" s="17"/>
      <c r="E372" s="16"/>
      <c r="F372" s="16"/>
      <c r="G372" s="16"/>
      <c r="H372" s="16"/>
      <c r="I372" s="17"/>
      <c r="J372" s="17"/>
      <c r="K372" s="17"/>
      <c r="L372" s="17"/>
      <c r="M372" s="17"/>
      <c r="N372" s="16"/>
      <c r="O372" s="16"/>
      <c r="P372" s="16"/>
      <c r="Q372" s="18"/>
      <c r="R372" s="18"/>
      <c r="S372" s="16"/>
      <c r="T372" s="16"/>
      <c r="U372" s="17"/>
    </row>
    <row r="373" spans="1:21" ht="16.05" customHeight="1" x14ac:dyDescent="0.3">
      <c r="A373" s="16"/>
      <c r="B373" s="16"/>
      <c r="C373" s="17"/>
      <c r="D373" s="17"/>
      <c r="E373" s="16"/>
      <c r="F373" s="16"/>
      <c r="G373" s="16"/>
      <c r="H373" s="16"/>
      <c r="I373" s="17"/>
      <c r="J373" s="17"/>
      <c r="K373" s="17"/>
      <c r="L373" s="17"/>
      <c r="M373" s="17"/>
      <c r="N373" s="16"/>
      <c r="O373" s="16"/>
      <c r="P373" s="16"/>
      <c r="Q373" s="18"/>
      <c r="R373" s="18"/>
      <c r="S373" s="16"/>
      <c r="T373" s="16"/>
      <c r="U373" s="17"/>
    </row>
    <row r="374" spans="1:21" ht="16.05" customHeight="1" x14ac:dyDescent="0.3">
      <c r="A374" s="16"/>
      <c r="B374" s="16"/>
      <c r="C374" s="17"/>
      <c r="D374" s="17"/>
      <c r="E374" s="16"/>
      <c r="F374" s="16"/>
      <c r="G374" s="16"/>
      <c r="H374" s="16"/>
      <c r="I374" s="17"/>
      <c r="J374" s="17"/>
      <c r="K374" s="17"/>
      <c r="L374" s="17"/>
      <c r="M374" s="17"/>
      <c r="N374" s="16"/>
      <c r="O374" s="16"/>
      <c r="P374" s="16"/>
      <c r="Q374" s="18"/>
      <c r="R374" s="18"/>
      <c r="S374" s="16"/>
      <c r="T374" s="16"/>
      <c r="U374" s="17"/>
    </row>
    <row r="375" spans="1:21" ht="16.05" customHeight="1" x14ac:dyDescent="0.3">
      <c r="A375" s="16"/>
      <c r="B375" s="16"/>
      <c r="C375" s="17"/>
      <c r="D375" s="17"/>
      <c r="E375" s="16"/>
      <c r="F375" s="16"/>
      <c r="G375" s="16"/>
      <c r="H375" s="16"/>
      <c r="I375" s="17"/>
      <c r="J375" s="17"/>
      <c r="K375" s="17"/>
      <c r="L375" s="17"/>
      <c r="M375" s="17"/>
      <c r="N375" s="16"/>
      <c r="O375" s="16"/>
      <c r="P375" s="16"/>
      <c r="Q375" s="18"/>
      <c r="R375" s="18"/>
      <c r="S375" s="16"/>
      <c r="T375" s="16"/>
      <c r="U375" s="17"/>
    </row>
    <row r="376" spans="1:21" ht="16.05" customHeight="1" x14ac:dyDescent="0.3">
      <c r="A376" s="16"/>
      <c r="B376" s="16"/>
      <c r="C376" s="17"/>
      <c r="D376" s="17"/>
      <c r="E376" s="16"/>
      <c r="F376" s="16"/>
      <c r="G376" s="16"/>
      <c r="H376" s="16"/>
      <c r="I376" s="17"/>
      <c r="J376" s="17"/>
      <c r="K376" s="17"/>
      <c r="L376" s="17"/>
      <c r="M376" s="17"/>
      <c r="N376" s="16"/>
      <c r="O376" s="16"/>
      <c r="P376" s="16"/>
      <c r="Q376" s="18"/>
      <c r="R376" s="18"/>
      <c r="S376" s="16"/>
      <c r="T376" s="16"/>
      <c r="U376" s="17"/>
    </row>
    <row r="377" spans="1:21" ht="16.05" customHeight="1" x14ac:dyDescent="0.3">
      <c r="A377" s="16"/>
      <c r="B377" s="16"/>
      <c r="C377" s="17"/>
      <c r="D377" s="17"/>
      <c r="E377" s="16"/>
      <c r="F377" s="16"/>
      <c r="G377" s="16"/>
      <c r="H377" s="16"/>
      <c r="I377" s="17"/>
      <c r="J377" s="17"/>
      <c r="K377" s="17"/>
      <c r="L377" s="17"/>
      <c r="M377" s="17"/>
      <c r="N377" s="16"/>
      <c r="O377" s="16"/>
      <c r="P377" s="16"/>
      <c r="Q377" s="18"/>
      <c r="R377" s="18"/>
      <c r="S377" s="16"/>
      <c r="T377" s="16"/>
      <c r="U377" s="17"/>
    </row>
    <row r="378" spans="1:21" ht="16.05" customHeight="1" x14ac:dyDescent="0.3">
      <c r="A378" s="16"/>
      <c r="B378" s="16"/>
      <c r="C378" s="17"/>
      <c r="D378" s="17"/>
      <c r="E378" s="16"/>
      <c r="F378" s="16"/>
      <c r="G378" s="16"/>
      <c r="H378" s="16"/>
      <c r="I378" s="17"/>
      <c r="J378" s="17"/>
      <c r="K378" s="17"/>
      <c r="L378" s="17"/>
      <c r="M378" s="17"/>
      <c r="N378" s="16"/>
      <c r="O378" s="16"/>
      <c r="P378" s="16"/>
      <c r="Q378" s="18"/>
      <c r="R378" s="18"/>
      <c r="S378" s="16"/>
      <c r="T378" s="16"/>
      <c r="U378" s="17"/>
    </row>
    <row r="379" spans="1:21" ht="16.05" customHeight="1" x14ac:dyDescent="0.3">
      <c r="A379" s="16"/>
      <c r="B379" s="16"/>
      <c r="C379" s="17"/>
      <c r="D379" s="17"/>
      <c r="E379" s="16"/>
      <c r="F379" s="16"/>
      <c r="G379" s="16"/>
      <c r="H379" s="16"/>
      <c r="I379" s="17"/>
      <c r="J379" s="17"/>
      <c r="K379" s="17"/>
      <c r="L379" s="17"/>
      <c r="M379" s="17"/>
      <c r="N379" s="16"/>
      <c r="O379" s="16"/>
      <c r="P379" s="16"/>
      <c r="Q379" s="18"/>
      <c r="R379" s="18"/>
      <c r="S379" s="16"/>
      <c r="T379" s="16"/>
      <c r="U379" s="17"/>
    </row>
    <row r="380" spans="1:21" ht="16.05" customHeight="1" x14ac:dyDescent="0.3">
      <c r="A380" s="16"/>
      <c r="B380" s="16"/>
      <c r="C380" s="17"/>
      <c r="D380" s="17"/>
      <c r="E380" s="16"/>
      <c r="F380" s="16"/>
      <c r="G380" s="16"/>
      <c r="H380" s="16"/>
      <c r="I380" s="17"/>
      <c r="J380" s="17"/>
      <c r="K380" s="17"/>
      <c r="L380" s="17"/>
      <c r="M380" s="17"/>
      <c r="N380" s="16"/>
      <c r="O380" s="16"/>
      <c r="P380" s="16"/>
      <c r="Q380" s="18"/>
      <c r="R380" s="18"/>
      <c r="S380" s="16"/>
      <c r="T380" s="16"/>
      <c r="U380" s="17"/>
    </row>
    <row r="381" spans="1:21" ht="16.05" customHeight="1" x14ac:dyDescent="0.3">
      <c r="A381" s="16"/>
      <c r="B381" s="16"/>
      <c r="C381" s="17"/>
      <c r="D381" s="17"/>
      <c r="E381" s="16"/>
      <c r="F381" s="16"/>
      <c r="G381" s="16"/>
      <c r="H381" s="16"/>
      <c r="I381" s="17"/>
      <c r="J381" s="17"/>
      <c r="K381" s="17"/>
      <c r="L381" s="17"/>
      <c r="M381" s="17"/>
      <c r="N381" s="16"/>
      <c r="O381" s="16"/>
      <c r="P381" s="16"/>
      <c r="Q381" s="18"/>
      <c r="R381" s="18"/>
      <c r="S381" s="16"/>
      <c r="T381" s="16"/>
      <c r="U381" s="17"/>
    </row>
    <row r="382" spans="1:21" ht="16.05" customHeight="1" x14ac:dyDescent="0.3">
      <c r="A382" s="16"/>
      <c r="B382" s="16"/>
      <c r="C382" s="17"/>
      <c r="D382" s="17"/>
      <c r="E382" s="16"/>
      <c r="F382" s="16"/>
      <c r="G382" s="16"/>
      <c r="H382" s="16"/>
      <c r="I382" s="17"/>
      <c r="J382" s="17"/>
      <c r="K382" s="17"/>
      <c r="L382" s="17"/>
      <c r="M382" s="17"/>
      <c r="N382" s="16"/>
      <c r="O382" s="16"/>
      <c r="P382" s="16"/>
      <c r="Q382" s="18"/>
      <c r="R382" s="18"/>
      <c r="S382" s="16"/>
      <c r="T382" s="16"/>
      <c r="U382" s="17"/>
    </row>
    <row r="383" spans="1:21" ht="16.05" customHeight="1" x14ac:dyDescent="0.3">
      <c r="A383" s="16"/>
      <c r="B383" s="16"/>
      <c r="C383" s="17"/>
      <c r="D383" s="17"/>
      <c r="E383" s="16"/>
      <c r="F383" s="16"/>
      <c r="G383" s="16"/>
      <c r="H383" s="16"/>
      <c r="I383" s="17"/>
      <c r="J383" s="17"/>
      <c r="K383" s="17"/>
      <c r="L383" s="17"/>
      <c r="M383" s="17"/>
      <c r="N383" s="16"/>
      <c r="O383" s="16"/>
      <c r="P383" s="16"/>
      <c r="Q383" s="18"/>
      <c r="R383" s="18"/>
      <c r="S383" s="16"/>
      <c r="T383" s="16"/>
      <c r="U383" s="17"/>
    </row>
    <row r="384" spans="1:21" ht="16.05" customHeight="1" x14ac:dyDescent="0.3">
      <c r="A384" s="16"/>
      <c r="B384" s="16"/>
      <c r="C384" s="17"/>
      <c r="D384" s="17"/>
      <c r="E384" s="16"/>
      <c r="F384" s="16"/>
      <c r="G384" s="16"/>
      <c r="H384" s="16"/>
      <c r="I384" s="17"/>
      <c r="J384" s="17"/>
      <c r="K384" s="17"/>
      <c r="L384" s="17"/>
      <c r="M384" s="17"/>
      <c r="N384" s="16"/>
      <c r="O384" s="16"/>
      <c r="P384" s="16"/>
      <c r="Q384" s="18"/>
      <c r="R384" s="18"/>
      <c r="S384" s="16"/>
      <c r="T384" s="16"/>
      <c r="U384" s="17"/>
    </row>
    <row r="385" spans="1:21" ht="16.05" customHeight="1" x14ac:dyDescent="0.3">
      <c r="A385" s="16"/>
      <c r="B385" s="16"/>
      <c r="C385" s="17"/>
      <c r="D385" s="17"/>
      <c r="E385" s="16"/>
      <c r="F385" s="16"/>
      <c r="G385" s="16"/>
      <c r="H385" s="16"/>
      <c r="I385" s="17"/>
      <c r="J385" s="17"/>
      <c r="K385" s="17"/>
      <c r="L385" s="17"/>
      <c r="M385" s="17"/>
      <c r="N385" s="16"/>
      <c r="O385" s="16"/>
      <c r="P385" s="16"/>
      <c r="Q385" s="18"/>
      <c r="R385" s="18"/>
      <c r="S385" s="16"/>
      <c r="T385" s="16"/>
      <c r="U385" s="17"/>
    </row>
    <row r="386" spans="1:21" ht="16.05" customHeight="1" x14ac:dyDescent="0.3">
      <c r="A386" s="16"/>
      <c r="B386" s="16"/>
      <c r="C386" s="17"/>
      <c r="D386" s="17"/>
      <c r="E386" s="16"/>
      <c r="F386" s="16"/>
      <c r="G386" s="16"/>
      <c r="H386" s="16"/>
      <c r="I386" s="17"/>
      <c r="J386" s="17"/>
      <c r="K386" s="17"/>
      <c r="L386" s="17"/>
      <c r="M386" s="17"/>
      <c r="N386" s="16"/>
      <c r="O386" s="16"/>
      <c r="P386" s="16"/>
      <c r="Q386" s="18"/>
      <c r="R386" s="18"/>
      <c r="S386" s="16"/>
      <c r="T386" s="16"/>
      <c r="U386" s="17"/>
    </row>
    <row r="387" spans="1:21" ht="16.05" customHeight="1" x14ac:dyDescent="0.3">
      <c r="A387" s="16"/>
      <c r="B387" s="16"/>
      <c r="C387" s="17"/>
      <c r="D387" s="17"/>
      <c r="E387" s="16"/>
      <c r="F387" s="16"/>
      <c r="G387" s="16"/>
      <c r="H387" s="16"/>
      <c r="I387" s="17"/>
      <c r="J387" s="17"/>
      <c r="K387" s="17"/>
      <c r="L387" s="17"/>
      <c r="M387" s="17"/>
      <c r="N387" s="16"/>
      <c r="O387" s="16"/>
      <c r="P387" s="16"/>
      <c r="Q387" s="18"/>
      <c r="R387" s="18"/>
      <c r="S387" s="16"/>
      <c r="T387" s="16"/>
      <c r="U387" s="17"/>
    </row>
    <row r="388" spans="1:21" ht="16.05" customHeight="1" x14ac:dyDescent="0.3">
      <c r="A388" s="16"/>
      <c r="B388" s="16"/>
      <c r="C388" s="17"/>
      <c r="D388" s="17"/>
      <c r="E388" s="16"/>
      <c r="F388" s="16"/>
      <c r="G388" s="16"/>
      <c r="H388" s="16"/>
      <c r="I388" s="17"/>
      <c r="J388" s="17"/>
      <c r="K388" s="17"/>
      <c r="L388" s="17"/>
      <c r="M388" s="17"/>
      <c r="N388" s="16"/>
      <c r="O388" s="16"/>
      <c r="P388" s="16"/>
      <c r="Q388" s="18"/>
      <c r="R388" s="18"/>
      <c r="S388" s="16"/>
      <c r="T388" s="16"/>
      <c r="U388" s="17"/>
    </row>
    <row r="389" spans="1:21" ht="16.05" customHeight="1" x14ac:dyDescent="0.3">
      <c r="A389" s="16"/>
      <c r="B389" s="16"/>
      <c r="C389" s="17"/>
      <c r="D389" s="17"/>
      <c r="E389" s="16"/>
      <c r="F389" s="16"/>
      <c r="G389" s="16"/>
      <c r="H389" s="16"/>
      <c r="I389" s="17"/>
      <c r="J389" s="17"/>
      <c r="K389" s="17"/>
      <c r="L389" s="17"/>
      <c r="M389" s="17"/>
      <c r="N389" s="16"/>
      <c r="O389" s="16"/>
      <c r="P389" s="16"/>
      <c r="Q389" s="18"/>
      <c r="R389" s="18"/>
      <c r="S389" s="16"/>
      <c r="T389" s="16"/>
      <c r="U389" s="17"/>
    </row>
    <row r="390" spans="1:21" ht="16.05" customHeight="1" x14ac:dyDescent="0.3">
      <c r="A390" s="16"/>
      <c r="B390" s="16"/>
      <c r="C390" s="17"/>
      <c r="D390" s="17"/>
      <c r="E390" s="16"/>
      <c r="F390" s="16"/>
      <c r="G390" s="16"/>
      <c r="H390" s="16"/>
      <c r="I390" s="17"/>
      <c r="J390" s="17"/>
      <c r="K390" s="17"/>
      <c r="L390" s="17"/>
      <c r="M390" s="17"/>
      <c r="N390" s="16"/>
      <c r="O390" s="16"/>
      <c r="P390" s="16"/>
      <c r="Q390" s="18"/>
      <c r="R390" s="18"/>
      <c r="S390" s="16"/>
      <c r="T390" s="16"/>
      <c r="U390" s="17"/>
    </row>
    <row r="391" spans="1:21" ht="16.05" customHeight="1" x14ac:dyDescent="0.3">
      <c r="A391" s="16"/>
      <c r="B391" s="16"/>
      <c r="C391" s="17"/>
      <c r="D391" s="17"/>
      <c r="E391" s="16"/>
      <c r="F391" s="16"/>
      <c r="G391" s="16"/>
      <c r="H391" s="16"/>
      <c r="I391" s="17"/>
      <c r="J391" s="17"/>
      <c r="K391" s="17"/>
      <c r="L391" s="17"/>
      <c r="M391" s="17"/>
      <c r="N391" s="16"/>
      <c r="O391" s="16"/>
      <c r="P391" s="16"/>
      <c r="Q391" s="18"/>
      <c r="R391" s="18"/>
      <c r="S391" s="16"/>
      <c r="T391" s="16"/>
      <c r="U391" s="17"/>
    </row>
    <row r="392" spans="1:21" ht="16.05" customHeight="1" x14ac:dyDescent="0.3">
      <c r="A392" s="16"/>
      <c r="B392" s="16"/>
      <c r="C392" s="17"/>
      <c r="D392" s="17"/>
      <c r="E392" s="16"/>
      <c r="F392" s="16"/>
      <c r="G392" s="16"/>
      <c r="H392" s="16"/>
      <c r="I392" s="17"/>
      <c r="J392" s="17"/>
      <c r="K392" s="17"/>
      <c r="L392" s="17"/>
      <c r="M392" s="17"/>
      <c r="N392" s="16"/>
      <c r="O392" s="16"/>
      <c r="P392" s="16"/>
      <c r="Q392" s="18"/>
      <c r="R392" s="18"/>
      <c r="S392" s="16"/>
      <c r="T392" s="16"/>
      <c r="U392" s="17"/>
    </row>
    <row r="393" spans="1:21" ht="16.05" customHeight="1" x14ac:dyDescent="0.3">
      <c r="A393" s="16"/>
      <c r="B393" s="16"/>
      <c r="C393" s="17"/>
      <c r="D393" s="17"/>
      <c r="E393" s="16"/>
      <c r="F393" s="16"/>
      <c r="G393" s="16"/>
      <c r="H393" s="16"/>
      <c r="I393" s="17"/>
      <c r="J393" s="17"/>
      <c r="K393" s="17"/>
      <c r="L393" s="17"/>
      <c r="M393" s="17"/>
      <c r="N393" s="16"/>
      <c r="O393" s="16"/>
      <c r="P393" s="16"/>
      <c r="Q393" s="18"/>
      <c r="R393" s="18"/>
      <c r="S393" s="16"/>
      <c r="T393" s="16"/>
      <c r="U393" s="17"/>
    </row>
    <row r="394" spans="1:21" ht="16.05" customHeight="1" x14ac:dyDescent="0.3">
      <c r="A394" s="16"/>
      <c r="B394" s="16"/>
      <c r="C394" s="17"/>
      <c r="D394" s="17"/>
      <c r="E394" s="16"/>
      <c r="F394" s="16"/>
      <c r="G394" s="16"/>
      <c r="H394" s="16"/>
      <c r="I394" s="17"/>
      <c r="J394" s="17"/>
      <c r="K394" s="17"/>
      <c r="L394" s="17"/>
      <c r="M394" s="17"/>
      <c r="N394" s="16"/>
      <c r="O394" s="16"/>
      <c r="P394" s="16"/>
      <c r="Q394" s="18"/>
      <c r="R394" s="18"/>
      <c r="S394" s="16"/>
      <c r="T394" s="16"/>
      <c r="U394" s="17"/>
    </row>
    <row r="395" spans="1:21" ht="16.05" customHeight="1" x14ac:dyDescent="0.3">
      <c r="A395" s="16"/>
      <c r="B395" s="16"/>
      <c r="C395" s="17"/>
      <c r="D395" s="17"/>
      <c r="E395" s="16"/>
      <c r="F395" s="16"/>
      <c r="G395" s="16"/>
      <c r="H395" s="16"/>
      <c r="I395" s="17"/>
      <c r="J395" s="17"/>
      <c r="K395" s="17"/>
      <c r="L395" s="17"/>
      <c r="M395" s="17"/>
      <c r="N395" s="16"/>
      <c r="O395" s="16"/>
      <c r="P395" s="16"/>
      <c r="Q395" s="18"/>
      <c r="R395" s="18"/>
      <c r="S395" s="16"/>
      <c r="T395" s="16"/>
      <c r="U395" s="17"/>
    </row>
    <row r="396" spans="1:21" ht="16.05" customHeight="1" x14ac:dyDescent="0.3">
      <c r="A396" s="16"/>
      <c r="B396" s="16"/>
      <c r="C396" s="17"/>
      <c r="D396" s="17"/>
      <c r="E396" s="16"/>
      <c r="F396" s="16"/>
      <c r="G396" s="16"/>
      <c r="H396" s="16"/>
      <c r="I396" s="17"/>
      <c r="J396" s="17"/>
      <c r="K396" s="17"/>
      <c r="L396" s="17"/>
      <c r="M396" s="17"/>
      <c r="N396" s="16"/>
      <c r="O396" s="16"/>
      <c r="P396" s="16"/>
      <c r="Q396" s="18"/>
      <c r="R396" s="18"/>
      <c r="S396" s="16"/>
      <c r="T396" s="16"/>
      <c r="U396" s="17"/>
    </row>
    <row r="397" spans="1:21" ht="16.05" customHeight="1" x14ac:dyDescent="0.3">
      <c r="A397" s="16"/>
      <c r="B397" s="16"/>
      <c r="C397" s="17"/>
      <c r="D397" s="17"/>
      <c r="E397" s="16"/>
      <c r="F397" s="16"/>
      <c r="G397" s="16"/>
      <c r="H397" s="16"/>
      <c r="I397" s="17"/>
      <c r="J397" s="17"/>
      <c r="K397" s="17"/>
      <c r="L397" s="17"/>
      <c r="M397" s="17"/>
      <c r="N397" s="16"/>
      <c r="O397" s="16"/>
      <c r="P397" s="16"/>
      <c r="Q397" s="18"/>
      <c r="R397" s="18"/>
      <c r="S397" s="16"/>
      <c r="T397" s="16"/>
      <c r="U397" s="17"/>
    </row>
    <row r="398" spans="1:21" ht="16.05" customHeight="1" x14ac:dyDescent="0.3">
      <c r="A398" s="16"/>
      <c r="B398" s="16"/>
      <c r="C398" s="17"/>
      <c r="D398" s="17"/>
      <c r="E398" s="16"/>
      <c r="F398" s="16"/>
      <c r="G398" s="16"/>
      <c r="H398" s="16"/>
      <c r="I398" s="17"/>
      <c r="J398" s="17"/>
      <c r="K398" s="17"/>
      <c r="L398" s="17"/>
      <c r="M398" s="17"/>
      <c r="N398" s="16"/>
      <c r="O398" s="16"/>
      <c r="P398" s="16"/>
      <c r="Q398" s="18"/>
      <c r="R398" s="18"/>
      <c r="S398" s="16"/>
      <c r="T398" s="16"/>
      <c r="U398" s="17"/>
    </row>
    <row r="399" spans="1:21" ht="16.05" customHeight="1" x14ac:dyDescent="0.3">
      <c r="A399" s="16"/>
      <c r="B399" s="16"/>
      <c r="C399" s="17"/>
      <c r="D399" s="17"/>
      <c r="E399" s="16"/>
      <c r="F399" s="16"/>
      <c r="G399" s="16"/>
      <c r="H399" s="16"/>
      <c r="I399" s="17"/>
      <c r="J399" s="17"/>
      <c r="K399" s="17"/>
      <c r="L399" s="17"/>
      <c r="M399" s="17"/>
      <c r="N399" s="16"/>
      <c r="O399" s="16"/>
      <c r="P399" s="16"/>
      <c r="Q399" s="18"/>
      <c r="R399" s="18"/>
      <c r="S399" s="16"/>
      <c r="T399" s="16"/>
      <c r="U399" s="17"/>
    </row>
    <row r="400" spans="1:21" ht="16.05" customHeight="1" x14ac:dyDescent="0.3">
      <c r="A400" s="16"/>
      <c r="B400" s="16"/>
      <c r="C400" s="17"/>
      <c r="D400" s="17"/>
      <c r="E400" s="16"/>
      <c r="F400" s="16"/>
      <c r="G400" s="16"/>
      <c r="H400" s="16"/>
      <c r="I400" s="17"/>
      <c r="J400" s="17"/>
      <c r="K400" s="17"/>
      <c r="L400" s="17"/>
      <c r="M400" s="17"/>
      <c r="N400" s="16"/>
      <c r="O400" s="16"/>
      <c r="P400" s="16"/>
      <c r="Q400" s="18"/>
      <c r="R400" s="18"/>
      <c r="S400" s="16"/>
      <c r="T400" s="16"/>
      <c r="U400" s="17"/>
    </row>
    <row r="401" spans="1:21" ht="16.05" customHeight="1" x14ac:dyDescent="0.3">
      <c r="A401" s="16"/>
      <c r="B401" s="16"/>
      <c r="C401" s="17"/>
      <c r="D401" s="17"/>
      <c r="E401" s="16"/>
      <c r="F401" s="16"/>
      <c r="G401" s="16"/>
      <c r="H401" s="16"/>
      <c r="I401" s="17"/>
      <c r="J401" s="17"/>
      <c r="K401" s="17"/>
      <c r="L401" s="17"/>
      <c r="M401" s="17"/>
      <c r="N401" s="16"/>
      <c r="O401" s="16"/>
      <c r="P401" s="16"/>
      <c r="Q401" s="18"/>
      <c r="R401" s="18"/>
      <c r="S401" s="16"/>
      <c r="T401" s="16"/>
      <c r="U401" s="17"/>
    </row>
    <row r="402" spans="1:21" ht="16.05" customHeight="1" x14ac:dyDescent="0.3">
      <c r="A402" s="16"/>
      <c r="B402" s="16"/>
      <c r="C402" s="17"/>
      <c r="D402" s="17"/>
      <c r="E402" s="16"/>
      <c r="F402" s="16"/>
      <c r="G402" s="16"/>
      <c r="H402" s="16"/>
      <c r="I402" s="17"/>
      <c r="J402" s="17"/>
      <c r="K402" s="17"/>
      <c r="L402" s="17"/>
      <c r="M402" s="17"/>
      <c r="N402" s="16"/>
      <c r="O402" s="16"/>
      <c r="P402" s="16"/>
      <c r="Q402" s="18"/>
      <c r="R402" s="18"/>
      <c r="S402" s="16"/>
      <c r="T402" s="16"/>
      <c r="U402" s="17"/>
    </row>
    <row r="403" spans="1:21" ht="16.05" customHeight="1" x14ac:dyDescent="0.3">
      <c r="A403" s="16"/>
      <c r="B403" s="16"/>
      <c r="C403" s="17"/>
      <c r="D403" s="17"/>
      <c r="E403" s="16"/>
      <c r="F403" s="16"/>
      <c r="G403" s="16"/>
      <c r="H403" s="16"/>
      <c r="I403" s="17"/>
      <c r="J403" s="17"/>
      <c r="K403" s="17"/>
      <c r="L403" s="17"/>
      <c r="M403" s="17"/>
      <c r="N403" s="16"/>
      <c r="O403" s="16"/>
      <c r="P403" s="16"/>
      <c r="Q403" s="18"/>
      <c r="R403" s="18"/>
      <c r="S403" s="16"/>
      <c r="T403" s="16"/>
      <c r="U403" s="17"/>
    </row>
    <row r="404" spans="1:21" ht="16.05" customHeight="1" x14ac:dyDescent="0.3">
      <c r="A404" s="16"/>
      <c r="B404" s="16"/>
      <c r="C404" s="17"/>
      <c r="D404" s="17"/>
      <c r="E404" s="16"/>
      <c r="F404" s="16"/>
      <c r="G404" s="16"/>
      <c r="H404" s="16"/>
      <c r="I404" s="17"/>
      <c r="J404" s="17"/>
      <c r="K404" s="17"/>
      <c r="L404" s="17"/>
      <c r="M404" s="17"/>
      <c r="N404" s="16"/>
      <c r="O404" s="16"/>
      <c r="P404" s="16"/>
      <c r="Q404" s="18"/>
      <c r="R404" s="18"/>
      <c r="S404" s="16"/>
      <c r="T404" s="16"/>
      <c r="U404" s="17"/>
    </row>
    <row r="405" spans="1:21" ht="16.05" customHeight="1" x14ac:dyDescent="0.3">
      <c r="A405" s="16"/>
      <c r="B405" s="16"/>
      <c r="C405" s="17"/>
      <c r="D405" s="17"/>
      <c r="E405" s="16"/>
      <c r="F405" s="16"/>
      <c r="G405" s="16"/>
      <c r="H405" s="16"/>
      <c r="I405" s="17"/>
      <c r="J405" s="17"/>
      <c r="K405" s="17"/>
      <c r="L405" s="17"/>
      <c r="M405" s="17"/>
      <c r="N405" s="16"/>
      <c r="O405" s="16"/>
      <c r="P405" s="16"/>
      <c r="Q405" s="18"/>
      <c r="R405" s="18"/>
      <c r="S405" s="16"/>
      <c r="T405" s="16"/>
      <c r="U405" s="17"/>
    </row>
    <row r="406" spans="1:21" ht="16.05" customHeight="1" x14ac:dyDescent="0.3">
      <c r="A406" s="16"/>
      <c r="B406" s="16"/>
      <c r="C406" s="17"/>
      <c r="D406" s="17"/>
      <c r="E406" s="16"/>
      <c r="F406" s="16"/>
      <c r="G406" s="16"/>
      <c r="H406" s="16"/>
      <c r="I406" s="17"/>
      <c r="J406" s="17"/>
      <c r="K406" s="17"/>
      <c r="L406" s="17"/>
      <c r="M406" s="17"/>
      <c r="N406" s="16"/>
      <c r="O406" s="16"/>
      <c r="P406" s="16"/>
      <c r="Q406" s="18"/>
      <c r="R406" s="18"/>
      <c r="S406" s="16"/>
      <c r="T406" s="16"/>
      <c r="U406" s="17"/>
    </row>
    <row r="407" spans="1:21" ht="16.05" customHeight="1" x14ac:dyDescent="0.3">
      <c r="A407" s="16"/>
      <c r="B407" s="16"/>
      <c r="C407" s="17"/>
      <c r="D407" s="17"/>
      <c r="E407" s="16"/>
      <c r="F407" s="16"/>
      <c r="G407" s="16"/>
      <c r="H407" s="16"/>
      <c r="I407" s="17"/>
      <c r="J407" s="17"/>
      <c r="K407" s="17"/>
      <c r="L407" s="17"/>
      <c r="M407" s="17"/>
      <c r="N407" s="16"/>
      <c r="O407" s="16"/>
      <c r="P407" s="16"/>
      <c r="Q407" s="18"/>
      <c r="R407" s="18"/>
      <c r="S407" s="16"/>
      <c r="T407" s="16"/>
      <c r="U407" s="17"/>
    </row>
    <row r="408" spans="1:21" ht="16.05" customHeight="1" x14ac:dyDescent="0.3">
      <c r="A408" s="16"/>
      <c r="B408" s="16"/>
      <c r="C408" s="17"/>
      <c r="D408" s="17"/>
      <c r="E408" s="16"/>
      <c r="F408" s="16"/>
      <c r="G408" s="16"/>
      <c r="H408" s="16"/>
      <c r="I408" s="17"/>
      <c r="J408" s="17"/>
      <c r="K408" s="17"/>
      <c r="L408" s="17"/>
      <c r="M408" s="17"/>
      <c r="N408" s="16"/>
      <c r="O408" s="16"/>
      <c r="P408" s="16"/>
      <c r="Q408" s="18"/>
      <c r="R408" s="18"/>
      <c r="S408" s="16"/>
      <c r="T408" s="16"/>
      <c r="U408" s="17"/>
    </row>
    <row r="409" spans="1:21" ht="16.05" customHeight="1" x14ac:dyDescent="0.3">
      <c r="A409" s="16"/>
      <c r="B409" s="16"/>
      <c r="C409" s="17"/>
      <c r="D409" s="17"/>
      <c r="E409" s="16"/>
      <c r="F409" s="16"/>
      <c r="G409" s="16"/>
      <c r="H409" s="16"/>
      <c r="I409" s="17"/>
      <c r="J409" s="17"/>
      <c r="K409" s="17"/>
      <c r="L409" s="17"/>
      <c r="M409" s="17"/>
      <c r="N409" s="16"/>
      <c r="O409" s="16"/>
      <c r="P409" s="16"/>
      <c r="Q409" s="18"/>
      <c r="R409" s="18"/>
      <c r="S409" s="16"/>
      <c r="T409" s="16"/>
      <c r="U409" s="17"/>
    </row>
    <row r="410" spans="1:21" ht="16.05" customHeight="1" x14ac:dyDescent="0.3">
      <c r="A410" s="16"/>
      <c r="B410" s="16"/>
      <c r="C410" s="17"/>
      <c r="D410" s="17"/>
      <c r="E410" s="16"/>
      <c r="F410" s="16"/>
      <c r="G410" s="16"/>
      <c r="H410" s="16"/>
      <c r="I410" s="17"/>
      <c r="J410" s="17"/>
      <c r="K410" s="17"/>
      <c r="L410" s="17"/>
      <c r="M410" s="17"/>
      <c r="N410" s="16"/>
      <c r="O410" s="16"/>
      <c r="P410" s="16"/>
      <c r="Q410" s="18"/>
      <c r="R410" s="18"/>
      <c r="S410" s="16"/>
      <c r="T410" s="16"/>
      <c r="U410" s="17"/>
    </row>
    <row r="411" spans="1:21" ht="16.05" customHeight="1" x14ac:dyDescent="0.3">
      <c r="A411" s="16"/>
      <c r="B411" s="16"/>
      <c r="C411" s="17"/>
      <c r="D411" s="17"/>
      <c r="E411" s="16"/>
      <c r="F411" s="16"/>
      <c r="G411" s="16"/>
      <c r="H411" s="16"/>
      <c r="I411" s="17"/>
      <c r="J411" s="17"/>
      <c r="K411" s="17"/>
      <c r="L411" s="17"/>
      <c r="M411" s="17"/>
      <c r="N411" s="16"/>
      <c r="O411" s="16"/>
      <c r="P411" s="16"/>
      <c r="Q411" s="18"/>
      <c r="R411" s="18"/>
      <c r="S411" s="16"/>
      <c r="T411" s="16"/>
      <c r="U411" s="17"/>
    </row>
    <row r="412" spans="1:21" ht="16.05" customHeight="1" x14ac:dyDescent="0.3">
      <c r="A412" s="16"/>
      <c r="B412" s="16"/>
      <c r="C412" s="17"/>
      <c r="D412" s="17"/>
      <c r="E412" s="16"/>
      <c r="F412" s="16"/>
      <c r="G412" s="16"/>
      <c r="H412" s="16"/>
      <c r="I412" s="17"/>
      <c r="J412" s="17"/>
      <c r="K412" s="17"/>
      <c r="L412" s="17"/>
      <c r="M412" s="17"/>
      <c r="N412" s="16"/>
      <c r="O412" s="16"/>
      <c r="P412" s="16"/>
      <c r="Q412" s="18"/>
      <c r="R412" s="18"/>
      <c r="S412" s="16"/>
      <c r="T412" s="16"/>
      <c r="U412" s="17"/>
    </row>
    <row r="413" spans="1:21" ht="16.05" customHeight="1" x14ac:dyDescent="0.3">
      <c r="A413" s="16"/>
      <c r="B413" s="16"/>
      <c r="C413" s="17"/>
      <c r="D413" s="17"/>
      <c r="E413" s="16"/>
      <c r="F413" s="16"/>
      <c r="G413" s="16"/>
      <c r="H413" s="16"/>
      <c r="I413" s="17"/>
      <c r="J413" s="17"/>
      <c r="K413" s="17"/>
      <c r="L413" s="17"/>
      <c r="M413" s="17"/>
      <c r="N413" s="16"/>
      <c r="O413" s="16"/>
      <c r="P413" s="16"/>
      <c r="Q413" s="18"/>
      <c r="R413" s="18"/>
      <c r="S413" s="16"/>
      <c r="T413" s="16"/>
      <c r="U413" s="17"/>
    </row>
    <row r="414" spans="1:21" ht="16.05" customHeight="1" x14ac:dyDescent="0.3">
      <c r="A414" s="16"/>
      <c r="B414" s="16"/>
      <c r="C414" s="17"/>
      <c r="D414" s="17"/>
      <c r="E414" s="16"/>
      <c r="F414" s="16"/>
      <c r="G414" s="16"/>
      <c r="H414" s="16"/>
      <c r="I414" s="17"/>
      <c r="J414" s="17"/>
      <c r="K414" s="17"/>
      <c r="L414" s="17"/>
      <c r="M414" s="17"/>
      <c r="N414" s="16"/>
      <c r="O414" s="16"/>
      <c r="P414" s="16"/>
      <c r="Q414" s="18"/>
      <c r="R414" s="18"/>
      <c r="S414" s="16"/>
      <c r="T414" s="16"/>
      <c r="U414" s="17"/>
    </row>
    <row r="415" spans="1:21" ht="16.05" customHeight="1" x14ac:dyDescent="0.3">
      <c r="A415" s="16"/>
      <c r="B415" s="16"/>
      <c r="C415" s="17"/>
      <c r="D415" s="17"/>
      <c r="E415" s="16"/>
      <c r="F415" s="16"/>
      <c r="G415" s="16"/>
      <c r="H415" s="16"/>
      <c r="I415" s="17"/>
      <c r="J415" s="17"/>
      <c r="K415" s="17"/>
      <c r="L415" s="17"/>
      <c r="M415" s="17"/>
      <c r="N415" s="16"/>
      <c r="O415" s="16"/>
      <c r="P415" s="16"/>
      <c r="Q415" s="18"/>
      <c r="R415" s="18"/>
      <c r="S415" s="16"/>
      <c r="T415" s="16"/>
      <c r="U415" s="17"/>
    </row>
    <row r="416" spans="1:21" ht="16.05" customHeight="1" x14ac:dyDescent="0.3">
      <c r="A416" s="16"/>
      <c r="B416" s="16"/>
      <c r="C416" s="17"/>
      <c r="D416" s="17"/>
      <c r="E416" s="16"/>
      <c r="F416" s="16"/>
      <c r="G416" s="16"/>
      <c r="H416" s="16"/>
      <c r="I416" s="17"/>
      <c r="J416" s="17"/>
      <c r="K416" s="17"/>
      <c r="L416" s="17"/>
      <c r="M416" s="17"/>
      <c r="N416" s="16"/>
      <c r="O416" s="16"/>
      <c r="P416" s="16"/>
      <c r="Q416" s="18"/>
      <c r="R416" s="18"/>
      <c r="S416" s="16"/>
      <c r="T416" s="16"/>
      <c r="U416" s="17"/>
    </row>
    <row r="417" spans="1:21" ht="16.05" customHeight="1" x14ac:dyDescent="0.3">
      <c r="A417" s="16"/>
      <c r="B417" s="16"/>
      <c r="C417" s="17"/>
      <c r="D417" s="17"/>
      <c r="E417" s="16"/>
      <c r="F417" s="16"/>
      <c r="G417" s="16"/>
      <c r="H417" s="16"/>
      <c r="I417" s="17"/>
      <c r="J417" s="17"/>
      <c r="K417" s="17"/>
      <c r="L417" s="17"/>
      <c r="M417" s="17"/>
      <c r="N417" s="16"/>
      <c r="O417" s="16"/>
      <c r="P417" s="16"/>
      <c r="Q417" s="18"/>
      <c r="R417" s="18"/>
      <c r="S417" s="16"/>
      <c r="T417" s="16"/>
      <c r="U417" s="17"/>
    </row>
    <row r="418" spans="1:21" ht="16.05" customHeight="1" x14ac:dyDescent="0.3">
      <c r="A418" s="16"/>
      <c r="B418" s="16"/>
      <c r="C418" s="17"/>
      <c r="D418" s="17"/>
      <c r="E418" s="16"/>
      <c r="F418" s="16"/>
      <c r="G418" s="16"/>
      <c r="H418" s="16"/>
      <c r="I418" s="17"/>
      <c r="J418" s="17"/>
      <c r="K418" s="17"/>
      <c r="L418" s="17"/>
      <c r="M418" s="17"/>
      <c r="N418" s="16"/>
      <c r="O418" s="16"/>
      <c r="P418" s="16"/>
      <c r="Q418" s="18"/>
      <c r="R418" s="18"/>
      <c r="S418" s="16"/>
      <c r="T418" s="16"/>
      <c r="U418" s="17"/>
    </row>
    <row r="419" spans="1:21" ht="16.05" customHeight="1" x14ac:dyDescent="0.3">
      <c r="A419" s="16"/>
      <c r="B419" s="16"/>
      <c r="C419" s="17"/>
      <c r="D419" s="17"/>
      <c r="E419" s="16"/>
      <c r="F419" s="16"/>
      <c r="G419" s="16"/>
      <c r="H419" s="16"/>
      <c r="I419" s="17"/>
      <c r="J419" s="17"/>
      <c r="K419" s="17"/>
      <c r="L419" s="17"/>
      <c r="M419" s="17"/>
      <c r="N419" s="16"/>
      <c r="O419" s="16"/>
      <c r="P419" s="16"/>
      <c r="Q419" s="18"/>
      <c r="R419" s="18"/>
      <c r="S419" s="16"/>
      <c r="T419" s="16"/>
      <c r="U419" s="17"/>
    </row>
    <row r="420" spans="1:21" ht="16.05" customHeight="1" x14ac:dyDescent="0.3">
      <c r="A420" s="16"/>
      <c r="B420" s="16"/>
      <c r="C420" s="17"/>
      <c r="D420" s="17"/>
      <c r="E420" s="16"/>
      <c r="F420" s="16"/>
      <c r="G420" s="16"/>
      <c r="H420" s="16"/>
      <c r="I420" s="17"/>
      <c r="J420" s="17"/>
      <c r="K420" s="17"/>
      <c r="L420" s="17"/>
      <c r="M420" s="17"/>
      <c r="N420" s="16"/>
      <c r="O420" s="16"/>
      <c r="P420" s="16"/>
      <c r="Q420" s="18"/>
      <c r="R420" s="18"/>
      <c r="S420" s="16"/>
      <c r="T420" s="16"/>
      <c r="U420" s="17"/>
    </row>
    <row r="421" spans="1:21" ht="16.05" customHeight="1" x14ac:dyDescent="0.3">
      <c r="A421" s="16"/>
      <c r="B421" s="16"/>
      <c r="C421" s="17"/>
      <c r="D421" s="17"/>
      <c r="E421" s="16"/>
      <c r="F421" s="16"/>
      <c r="G421" s="16"/>
      <c r="H421" s="16"/>
      <c r="I421" s="17"/>
      <c r="J421" s="17"/>
      <c r="K421" s="17"/>
      <c r="L421" s="17"/>
      <c r="M421" s="17"/>
      <c r="N421" s="16"/>
      <c r="O421" s="16"/>
      <c r="P421" s="16"/>
      <c r="Q421" s="18"/>
      <c r="R421" s="18"/>
      <c r="S421" s="16"/>
      <c r="T421" s="16"/>
      <c r="U421" s="17"/>
    </row>
    <row r="422" spans="1:21" ht="16.05" customHeight="1" x14ac:dyDescent="0.3">
      <c r="A422" s="16"/>
      <c r="B422" s="16"/>
      <c r="C422" s="17"/>
      <c r="D422" s="17"/>
      <c r="E422" s="16"/>
      <c r="F422" s="16"/>
      <c r="G422" s="16"/>
      <c r="H422" s="16"/>
      <c r="I422" s="17"/>
      <c r="J422" s="17"/>
      <c r="K422" s="17"/>
      <c r="L422" s="17"/>
      <c r="M422" s="17"/>
      <c r="N422" s="16"/>
      <c r="O422" s="16"/>
      <c r="P422" s="16"/>
      <c r="Q422" s="18"/>
      <c r="R422" s="18"/>
      <c r="S422" s="16"/>
      <c r="T422" s="16"/>
      <c r="U422" s="17"/>
    </row>
    <row r="423" spans="1:21" ht="16.05" customHeight="1" x14ac:dyDescent="0.3">
      <c r="A423" s="16"/>
      <c r="B423" s="16"/>
      <c r="C423" s="17"/>
      <c r="D423" s="17"/>
      <c r="E423" s="16"/>
      <c r="F423" s="16"/>
      <c r="G423" s="16"/>
      <c r="H423" s="16"/>
      <c r="I423" s="17"/>
      <c r="J423" s="17"/>
      <c r="K423" s="17"/>
      <c r="L423" s="17"/>
      <c r="M423" s="17"/>
      <c r="N423" s="16"/>
      <c r="O423" s="16"/>
      <c r="P423" s="16"/>
      <c r="Q423" s="18"/>
      <c r="R423" s="18"/>
      <c r="S423" s="16"/>
      <c r="T423" s="16"/>
      <c r="U423" s="17"/>
    </row>
    <row r="424" spans="1:21" ht="16.05" customHeight="1" x14ac:dyDescent="0.3">
      <c r="A424" s="16"/>
      <c r="B424" s="16"/>
      <c r="C424" s="17"/>
      <c r="D424" s="17"/>
      <c r="E424" s="16"/>
      <c r="F424" s="16"/>
      <c r="G424" s="16"/>
      <c r="H424" s="16"/>
      <c r="I424" s="17"/>
      <c r="J424" s="17"/>
      <c r="K424" s="17"/>
      <c r="L424" s="17"/>
      <c r="M424" s="17"/>
      <c r="N424" s="16"/>
      <c r="O424" s="16"/>
      <c r="P424" s="16"/>
      <c r="Q424" s="18"/>
      <c r="R424" s="18"/>
      <c r="S424" s="16"/>
      <c r="T424" s="16"/>
      <c r="U424" s="17"/>
    </row>
    <row r="425" spans="1:21" ht="16.05" customHeight="1" x14ac:dyDescent="0.3">
      <c r="A425" s="16"/>
      <c r="B425" s="16"/>
      <c r="C425" s="17"/>
      <c r="D425" s="17"/>
      <c r="E425" s="16"/>
      <c r="F425" s="16"/>
      <c r="G425" s="16"/>
      <c r="H425" s="16"/>
      <c r="I425" s="17"/>
      <c r="J425" s="17"/>
      <c r="K425" s="17"/>
      <c r="L425" s="17"/>
      <c r="M425" s="17"/>
      <c r="N425" s="16"/>
      <c r="O425" s="16"/>
      <c r="P425" s="16"/>
      <c r="Q425" s="18"/>
      <c r="R425" s="18"/>
      <c r="S425" s="16"/>
      <c r="T425" s="16"/>
      <c r="U425" s="17"/>
    </row>
    <row r="426" spans="1:21" ht="16.05" customHeight="1" x14ac:dyDescent="0.3">
      <c r="A426" s="16"/>
      <c r="B426" s="16"/>
      <c r="C426" s="17"/>
      <c r="D426" s="17"/>
      <c r="E426" s="16"/>
      <c r="F426" s="16"/>
      <c r="G426" s="16"/>
      <c r="H426" s="16"/>
      <c r="I426" s="17"/>
      <c r="J426" s="17"/>
      <c r="K426" s="17"/>
      <c r="L426" s="17"/>
      <c r="M426" s="17"/>
      <c r="N426" s="16"/>
      <c r="O426" s="16"/>
      <c r="P426" s="16"/>
      <c r="Q426" s="18"/>
      <c r="R426" s="18"/>
      <c r="S426" s="16"/>
      <c r="T426" s="16"/>
      <c r="U426" s="17"/>
    </row>
    <row r="427" spans="1:21" ht="16.05" customHeight="1" x14ac:dyDescent="0.3">
      <c r="A427" s="16"/>
      <c r="B427" s="16"/>
      <c r="C427" s="17"/>
      <c r="D427" s="17"/>
      <c r="E427" s="16"/>
      <c r="F427" s="16"/>
      <c r="G427" s="16"/>
      <c r="H427" s="16"/>
      <c r="I427" s="17"/>
      <c r="J427" s="17"/>
      <c r="K427" s="17"/>
      <c r="L427" s="17"/>
      <c r="M427" s="17"/>
      <c r="N427" s="16"/>
      <c r="O427" s="16"/>
      <c r="P427" s="16"/>
      <c r="Q427" s="18"/>
      <c r="R427" s="18"/>
      <c r="S427" s="16"/>
      <c r="T427" s="16"/>
      <c r="U427" s="17"/>
    </row>
    <row r="428" spans="1:21" ht="16.05" customHeight="1" x14ac:dyDescent="0.3">
      <c r="A428" s="16"/>
      <c r="B428" s="16"/>
      <c r="C428" s="17"/>
      <c r="D428" s="17"/>
      <c r="E428" s="16"/>
      <c r="F428" s="16"/>
      <c r="G428" s="16"/>
      <c r="H428" s="16"/>
      <c r="I428" s="17"/>
      <c r="J428" s="17"/>
      <c r="K428" s="17"/>
      <c r="L428" s="17"/>
      <c r="M428" s="17"/>
      <c r="N428" s="16"/>
      <c r="O428" s="16"/>
      <c r="P428" s="16"/>
      <c r="Q428" s="18"/>
      <c r="R428" s="18"/>
      <c r="S428" s="16"/>
      <c r="T428" s="16"/>
      <c r="U428" s="17"/>
    </row>
    <row r="429" spans="1:21" ht="16.05" customHeight="1" x14ac:dyDescent="0.3">
      <c r="A429" s="16"/>
      <c r="B429" s="16"/>
      <c r="C429" s="17"/>
      <c r="D429" s="17"/>
      <c r="E429" s="16"/>
      <c r="F429" s="16"/>
      <c r="G429" s="16"/>
      <c r="H429" s="16"/>
      <c r="I429" s="17"/>
      <c r="J429" s="17"/>
      <c r="K429" s="17"/>
      <c r="L429" s="17"/>
      <c r="M429" s="17"/>
      <c r="N429" s="16"/>
      <c r="O429" s="16"/>
      <c r="P429" s="16"/>
      <c r="Q429" s="18"/>
      <c r="R429" s="18"/>
      <c r="S429" s="16"/>
      <c r="T429" s="16"/>
      <c r="U429" s="17"/>
    </row>
    <row r="430" spans="1:21" ht="16.05" customHeight="1" x14ac:dyDescent="0.3">
      <c r="A430" s="16"/>
      <c r="B430" s="16"/>
      <c r="C430" s="17"/>
      <c r="D430" s="17"/>
      <c r="E430" s="16"/>
      <c r="F430" s="16"/>
      <c r="G430" s="16"/>
      <c r="H430" s="16"/>
      <c r="I430" s="17"/>
      <c r="J430" s="17"/>
      <c r="K430" s="17"/>
      <c r="L430" s="17"/>
      <c r="M430" s="17"/>
      <c r="N430" s="16"/>
      <c r="O430" s="16"/>
      <c r="P430" s="16"/>
      <c r="Q430" s="18"/>
      <c r="R430" s="18"/>
      <c r="S430" s="16"/>
      <c r="T430" s="16"/>
      <c r="U430" s="17"/>
    </row>
    <row r="431" spans="1:21" ht="16.05" customHeight="1" x14ac:dyDescent="0.3">
      <c r="A431" s="16"/>
      <c r="B431" s="16"/>
      <c r="C431" s="17"/>
      <c r="D431" s="17"/>
      <c r="E431" s="16"/>
      <c r="F431" s="16"/>
      <c r="G431" s="16"/>
      <c r="H431" s="16"/>
      <c r="I431" s="17"/>
      <c r="J431" s="17"/>
      <c r="K431" s="17"/>
      <c r="L431" s="17"/>
      <c r="M431" s="17"/>
      <c r="N431" s="16"/>
      <c r="O431" s="16"/>
      <c r="P431" s="16"/>
      <c r="Q431" s="18"/>
      <c r="R431" s="18"/>
      <c r="S431" s="16"/>
      <c r="T431" s="16"/>
      <c r="U431" s="17"/>
    </row>
    <row r="432" spans="1:21" ht="16.05" customHeight="1" x14ac:dyDescent="0.3">
      <c r="A432" s="16"/>
      <c r="B432" s="16"/>
      <c r="C432" s="17"/>
      <c r="D432" s="17"/>
      <c r="E432" s="16"/>
      <c r="F432" s="16"/>
      <c r="G432" s="16"/>
      <c r="H432" s="16"/>
      <c r="I432" s="17"/>
      <c r="J432" s="17"/>
      <c r="K432" s="17"/>
      <c r="L432" s="17"/>
      <c r="M432" s="17"/>
      <c r="N432" s="16"/>
      <c r="O432" s="16"/>
      <c r="P432" s="16"/>
      <c r="Q432" s="18"/>
      <c r="R432" s="18"/>
      <c r="S432" s="16"/>
      <c r="T432" s="16"/>
      <c r="U432" s="17"/>
    </row>
    <row r="433" spans="1:21" ht="16.05" customHeight="1" x14ac:dyDescent="0.3">
      <c r="A433" s="16"/>
      <c r="B433" s="16"/>
      <c r="C433" s="17"/>
      <c r="D433" s="17"/>
      <c r="E433" s="16"/>
      <c r="F433" s="16"/>
      <c r="G433" s="16"/>
      <c r="H433" s="16"/>
      <c r="I433" s="17"/>
      <c r="J433" s="17"/>
      <c r="K433" s="17"/>
      <c r="L433" s="17"/>
      <c r="M433" s="17"/>
      <c r="N433" s="16"/>
      <c r="O433" s="16"/>
      <c r="P433" s="16"/>
      <c r="Q433" s="18"/>
      <c r="R433" s="18"/>
      <c r="S433" s="16"/>
      <c r="T433" s="16"/>
      <c r="U433" s="17"/>
    </row>
    <row r="434" spans="1:21" ht="16.05" customHeight="1" x14ac:dyDescent="0.3">
      <c r="A434" s="16"/>
      <c r="B434" s="16"/>
      <c r="C434" s="17"/>
      <c r="D434" s="17"/>
      <c r="E434" s="16"/>
      <c r="F434" s="16"/>
      <c r="G434" s="16"/>
      <c r="H434" s="16"/>
      <c r="I434" s="17"/>
      <c r="J434" s="17"/>
      <c r="K434" s="17"/>
      <c r="L434" s="17"/>
      <c r="M434" s="17"/>
      <c r="N434" s="16"/>
      <c r="O434" s="16"/>
      <c r="P434" s="16"/>
      <c r="Q434" s="18"/>
      <c r="R434" s="18"/>
      <c r="S434" s="16"/>
      <c r="T434" s="16"/>
      <c r="U434" s="17"/>
    </row>
    <row r="435" spans="1:21" ht="16.05" customHeight="1" x14ac:dyDescent="0.3">
      <c r="A435" s="16"/>
      <c r="B435" s="16"/>
      <c r="C435" s="17"/>
      <c r="D435" s="17"/>
      <c r="E435" s="16"/>
      <c r="F435" s="16"/>
      <c r="G435" s="16"/>
      <c r="H435" s="16"/>
      <c r="I435" s="17"/>
      <c r="J435" s="17"/>
      <c r="K435" s="17"/>
      <c r="L435" s="17"/>
      <c r="M435" s="17"/>
      <c r="N435" s="16"/>
      <c r="O435" s="16"/>
      <c r="P435" s="16"/>
      <c r="Q435" s="18"/>
      <c r="R435" s="18"/>
      <c r="S435" s="16"/>
      <c r="T435" s="16"/>
      <c r="U435" s="17"/>
    </row>
    <row r="436" spans="1:21" ht="16.05" customHeight="1" x14ac:dyDescent="0.3">
      <c r="A436" s="16"/>
      <c r="B436" s="16"/>
      <c r="C436" s="17"/>
      <c r="D436" s="17"/>
      <c r="E436" s="16"/>
      <c r="F436" s="16"/>
      <c r="G436" s="16"/>
      <c r="H436" s="16"/>
      <c r="I436" s="17"/>
      <c r="J436" s="17"/>
      <c r="K436" s="17"/>
      <c r="L436" s="17"/>
      <c r="M436" s="17"/>
      <c r="N436" s="16"/>
      <c r="O436" s="16"/>
      <c r="P436" s="16"/>
      <c r="Q436" s="18"/>
      <c r="R436" s="18"/>
      <c r="S436" s="16"/>
      <c r="T436" s="16"/>
      <c r="U436" s="17"/>
    </row>
    <row r="437" spans="1:21" ht="16.05" customHeight="1" x14ac:dyDescent="0.3">
      <c r="A437" s="16"/>
      <c r="B437" s="16"/>
      <c r="C437" s="17"/>
      <c r="D437" s="17"/>
      <c r="E437" s="16"/>
      <c r="F437" s="16"/>
      <c r="G437" s="16"/>
      <c r="H437" s="16"/>
      <c r="I437" s="17"/>
      <c r="J437" s="17"/>
      <c r="K437" s="17"/>
      <c r="L437" s="17"/>
      <c r="M437" s="17"/>
      <c r="N437" s="16"/>
      <c r="O437" s="16"/>
      <c r="P437" s="16"/>
      <c r="Q437" s="18"/>
      <c r="R437" s="18"/>
      <c r="S437" s="16"/>
      <c r="T437" s="16"/>
      <c r="U437" s="17"/>
    </row>
    <row r="438" spans="1:21" ht="16.05" customHeight="1" x14ac:dyDescent="0.3">
      <c r="A438" s="16"/>
      <c r="B438" s="16"/>
      <c r="C438" s="17"/>
      <c r="D438" s="17"/>
      <c r="E438" s="16"/>
      <c r="F438" s="16"/>
      <c r="G438" s="16"/>
      <c r="H438" s="16"/>
      <c r="I438" s="17"/>
      <c r="J438" s="17"/>
      <c r="K438" s="17"/>
      <c r="L438" s="17"/>
      <c r="M438" s="17"/>
      <c r="N438" s="16"/>
      <c r="O438" s="16"/>
      <c r="P438" s="16"/>
      <c r="Q438" s="18"/>
      <c r="R438" s="18"/>
      <c r="S438" s="16"/>
      <c r="T438" s="16"/>
      <c r="U438" s="17"/>
    </row>
    <row r="439" spans="1:21" ht="16.05" customHeight="1" x14ac:dyDescent="0.3">
      <c r="A439" s="16"/>
      <c r="B439" s="16"/>
      <c r="C439" s="17"/>
      <c r="D439" s="17"/>
      <c r="E439" s="16"/>
      <c r="F439" s="16"/>
      <c r="G439" s="16"/>
      <c r="H439" s="16"/>
      <c r="I439" s="17"/>
      <c r="J439" s="17"/>
      <c r="K439" s="17"/>
      <c r="L439" s="17"/>
      <c r="M439" s="17"/>
      <c r="N439" s="16"/>
      <c r="O439" s="16"/>
      <c r="P439" s="16"/>
      <c r="Q439" s="18"/>
      <c r="R439" s="18"/>
      <c r="S439" s="16"/>
      <c r="T439" s="16"/>
      <c r="U439" s="17"/>
    </row>
    <row r="440" spans="1:21" ht="16.05" customHeight="1" x14ac:dyDescent="0.3">
      <c r="A440" s="16"/>
      <c r="B440" s="16"/>
      <c r="C440" s="17"/>
      <c r="D440" s="17"/>
      <c r="E440" s="16"/>
      <c r="F440" s="16"/>
      <c r="G440" s="16"/>
      <c r="H440" s="16"/>
      <c r="I440" s="17"/>
      <c r="J440" s="17"/>
      <c r="K440" s="17"/>
      <c r="L440" s="17"/>
      <c r="M440" s="17"/>
      <c r="N440" s="16"/>
      <c r="O440" s="16"/>
      <c r="P440" s="16"/>
      <c r="Q440" s="18"/>
      <c r="R440" s="18"/>
      <c r="S440" s="16"/>
      <c r="T440" s="16"/>
      <c r="U440" s="17"/>
    </row>
    <row r="441" spans="1:21" ht="16.05" customHeight="1" x14ac:dyDescent="0.3">
      <c r="A441" s="16"/>
      <c r="B441" s="16"/>
      <c r="C441" s="17"/>
      <c r="D441" s="17"/>
      <c r="E441" s="16"/>
      <c r="F441" s="16"/>
      <c r="G441" s="16"/>
      <c r="H441" s="16"/>
      <c r="I441" s="17"/>
      <c r="J441" s="17"/>
      <c r="K441" s="17"/>
      <c r="L441" s="17"/>
      <c r="M441" s="17"/>
      <c r="N441" s="16"/>
      <c r="O441" s="16"/>
      <c r="P441" s="16"/>
      <c r="Q441" s="18"/>
      <c r="R441" s="18"/>
      <c r="S441" s="16"/>
      <c r="T441" s="16"/>
      <c r="U441" s="17"/>
    </row>
    <row r="442" spans="1:21" ht="16.05" customHeight="1" x14ac:dyDescent="0.3">
      <c r="A442" s="16"/>
      <c r="B442" s="16"/>
      <c r="C442" s="17"/>
      <c r="D442" s="17"/>
      <c r="E442" s="16"/>
      <c r="F442" s="16"/>
      <c r="G442" s="16"/>
      <c r="H442" s="16"/>
      <c r="I442" s="17"/>
      <c r="J442" s="17"/>
      <c r="K442" s="17"/>
      <c r="L442" s="17"/>
      <c r="M442" s="17"/>
      <c r="N442" s="16"/>
      <c r="O442" s="16"/>
      <c r="P442" s="16"/>
      <c r="Q442" s="18"/>
      <c r="R442" s="18"/>
      <c r="S442" s="16"/>
      <c r="T442" s="16"/>
      <c r="U442" s="17"/>
    </row>
    <row r="443" spans="1:21" ht="16.05" customHeight="1" x14ac:dyDescent="0.3">
      <c r="A443" s="16"/>
      <c r="B443" s="16"/>
      <c r="C443" s="17"/>
      <c r="D443" s="17"/>
      <c r="E443" s="16"/>
      <c r="F443" s="16"/>
      <c r="G443" s="16"/>
      <c r="H443" s="16"/>
      <c r="I443" s="17"/>
      <c r="J443" s="17"/>
      <c r="K443" s="17"/>
      <c r="L443" s="17"/>
      <c r="M443" s="17"/>
      <c r="N443" s="16"/>
      <c r="O443" s="16"/>
      <c r="P443" s="16"/>
      <c r="Q443" s="18"/>
      <c r="R443" s="18"/>
      <c r="S443" s="16"/>
      <c r="T443" s="16"/>
      <c r="U443" s="17"/>
    </row>
    <row r="444" spans="1:21" ht="16.05" customHeight="1" x14ac:dyDescent="0.3">
      <c r="A444" s="16"/>
      <c r="B444" s="16"/>
      <c r="C444" s="17"/>
      <c r="D444" s="17"/>
      <c r="E444" s="16"/>
      <c r="F444" s="16"/>
      <c r="G444" s="16"/>
      <c r="H444" s="16"/>
      <c r="I444" s="17"/>
      <c r="J444" s="17"/>
      <c r="K444" s="17"/>
      <c r="L444" s="17"/>
      <c r="M444" s="17"/>
      <c r="N444" s="16"/>
      <c r="O444" s="16"/>
      <c r="P444" s="16"/>
      <c r="Q444" s="18"/>
      <c r="R444" s="18"/>
      <c r="S444" s="16"/>
      <c r="T444" s="16"/>
      <c r="U444" s="17"/>
    </row>
    <row r="445" spans="1:21" ht="16.05" customHeight="1" x14ac:dyDescent="0.3">
      <c r="A445" s="16"/>
      <c r="B445" s="16"/>
      <c r="C445" s="17"/>
      <c r="D445" s="17"/>
      <c r="E445" s="16"/>
      <c r="F445" s="16"/>
      <c r="G445" s="16"/>
      <c r="H445" s="16"/>
      <c r="I445" s="17"/>
      <c r="J445" s="17"/>
      <c r="K445" s="17"/>
      <c r="L445" s="17"/>
      <c r="M445" s="17"/>
      <c r="N445" s="16"/>
      <c r="O445" s="16"/>
      <c r="P445" s="16"/>
      <c r="Q445" s="18"/>
      <c r="R445" s="18"/>
      <c r="S445" s="16"/>
      <c r="T445" s="16"/>
      <c r="U445" s="17"/>
    </row>
    <row r="446" spans="1:21" ht="16.05" customHeight="1" x14ac:dyDescent="0.3">
      <c r="A446" s="16"/>
      <c r="B446" s="16"/>
      <c r="C446" s="17"/>
      <c r="D446" s="17"/>
      <c r="E446" s="16"/>
      <c r="F446" s="16"/>
      <c r="G446" s="16"/>
      <c r="H446" s="16"/>
      <c r="I446" s="17"/>
      <c r="J446" s="17"/>
      <c r="K446" s="17"/>
      <c r="L446" s="17"/>
      <c r="M446" s="17"/>
      <c r="N446" s="16"/>
      <c r="O446" s="16"/>
      <c r="P446" s="16"/>
      <c r="Q446" s="18"/>
      <c r="R446" s="18"/>
      <c r="S446" s="16"/>
      <c r="T446" s="16"/>
      <c r="U446" s="17"/>
    </row>
    <row r="447" spans="1:21" ht="16.05" customHeight="1" x14ac:dyDescent="0.3">
      <c r="A447" s="16"/>
      <c r="B447" s="16"/>
      <c r="C447" s="17"/>
      <c r="D447" s="17"/>
      <c r="E447" s="16"/>
      <c r="F447" s="16"/>
      <c r="G447" s="16"/>
      <c r="H447" s="16"/>
      <c r="I447" s="17"/>
      <c r="J447" s="17"/>
      <c r="K447" s="17"/>
      <c r="L447" s="17"/>
      <c r="M447" s="17"/>
      <c r="N447" s="16"/>
      <c r="O447" s="16"/>
      <c r="P447" s="16"/>
      <c r="Q447" s="18"/>
      <c r="R447" s="18"/>
      <c r="S447" s="16"/>
      <c r="T447" s="16"/>
      <c r="U447" s="17"/>
    </row>
    <row r="448" spans="1:21" ht="16.05" customHeight="1" x14ac:dyDescent="0.3">
      <c r="A448" s="16"/>
      <c r="B448" s="16"/>
      <c r="C448" s="17"/>
      <c r="D448" s="17"/>
      <c r="E448" s="16"/>
      <c r="F448" s="16"/>
      <c r="G448" s="16"/>
      <c r="H448" s="16"/>
      <c r="I448" s="17"/>
      <c r="J448" s="17"/>
      <c r="K448" s="17"/>
      <c r="L448" s="17"/>
      <c r="M448" s="17"/>
      <c r="N448" s="16"/>
      <c r="O448" s="16"/>
      <c r="P448" s="16"/>
      <c r="Q448" s="18"/>
      <c r="R448" s="18"/>
      <c r="S448" s="16"/>
      <c r="T448" s="16"/>
      <c r="U448" s="17"/>
    </row>
    <row r="449" spans="1:21" ht="16.05" customHeight="1" x14ac:dyDescent="0.3">
      <c r="A449" s="16"/>
      <c r="B449" s="16"/>
      <c r="C449" s="17"/>
      <c r="D449" s="17"/>
      <c r="E449" s="16"/>
      <c r="F449" s="16"/>
      <c r="G449" s="16"/>
      <c r="H449" s="16"/>
      <c r="I449" s="17"/>
      <c r="J449" s="17"/>
      <c r="K449" s="17"/>
      <c r="L449" s="17"/>
      <c r="M449" s="17"/>
      <c r="N449" s="16"/>
      <c r="O449" s="16"/>
      <c r="P449" s="16"/>
      <c r="Q449" s="18"/>
      <c r="R449" s="18"/>
      <c r="S449" s="16"/>
      <c r="T449" s="16"/>
      <c r="U449" s="17"/>
    </row>
    <row r="450" spans="1:21" ht="16.05" customHeight="1" x14ac:dyDescent="0.3">
      <c r="A450" s="16"/>
      <c r="B450" s="16"/>
      <c r="C450" s="17"/>
      <c r="D450" s="17"/>
      <c r="E450" s="16"/>
      <c r="F450" s="16"/>
      <c r="G450" s="16"/>
      <c r="H450" s="16"/>
      <c r="I450" s="17"/>
      <c r="J450" s="17"/>
      <c r="K450" s="17"/>
      <c r="L450" s="17"/>
      <c r="M450" s="17"/>
      <c r="N450" s="16"/>
      <c r="O450" s="16"/>
      <c r="P450" s="16"/>
      <c r="Q450" s="18"/>
      <c r="R450" s="18"/>
      <c r="S450" s="16"/>
      <c r="T450" s="16"/>
      <c r="U450" s="17"/>
    </row>
    <row r="451" spans="1:21" ht="16.05" customHeight="1" x14ac:dyDescent="0.3">
      <c r="A451" s="16"/>
      <c r="B451" s="16"/>
      <c r="C451" s="17"/>
      <c r="D451" s="17"/>
      <c r="E451" s="16"/>
      <c r="F451" s="16"/>
      <c r="G451" s="16"/>
      <c r="H451" s="16"/>
      <c r="I451" s="17"/>
      <c r="J451" s="17"/>
      <c r="K451" s="17"/>
      <c r="L451" s="17"/>
      <c r="M451" s="17"/>
      <c r="N451" s="16"/>
      <c r="O451" s="16"/>
      <c r="P451" s="16"/>
      <c r="Q451" s="18"/>
      <c r="R451" s="18"/>
      <c r="S451" s="16"/>
      <c r="T451" s="16"/>
      <c r="U451" s="17"/>
    </row>
    <row r="452" spans="1:21" ht="16.05" customHeight="1" x14ac:dyDescent="0.3">
      <c r="A452" s="16"/>
      <c r="B452" s="16"/>
      <c r="C452" s="17"/>
      <c r="D452" s="17"/>
      <c r="E452" s="16"/>
      <c r="F452" s="16"/>
      <c r="G452" s="16"/>
      <c r="H452" s="16"/>
      <c r="I452" s="17"/>
      <c r="J452" s="17"/>
      <c r="K452" s="17"/>
      <c r="L452" s="17"/>
      <c r="M452" s="17"/>
      <c r="N452" s="16"/>
      <c r="O452" s="16"/>
      <c r="P452" s="16"/>
      <c r="Q452" s="18"/>
      <c r="R452" s="18"/>
      <c r="S452" s="16"/>
      <c r="T452" s="16"/>
      <c r="U452" s="17"/>
    </row>
    <row r="453" spans="1:21" ht="16.05" customHeight="1" x14ac:dyDescent="0.3">
      <c r="A453" s="16"/>
      <c r="B453" s="16"/>
      <c r="C453" s="17"/>
      <c r="D453" s="17"/>
      <c r="E453" s="16"/>
      <c r="F453" s="16"/>
      <c r="G453" s="16"/>
      <c r="H453" s="16"/>
      <c r="I453" s="17"/>
      <c r="J453" s="17"/>
      <c r="K453" s="17"/>
      <c r="L453" s="17"/>
      <c r="M453" s="17"/>
      <c r="N453" s="16"/>
      <c r="O453" s="16"/>
      <c r="P453" s="16"/>
      <c r="Q453" s="18"/>
      <c r="R453" s="18"/>
      <c r="S453" s="16"/>
      <c r="T453" s="16"/>
      <c r="U453" s="17"/>
    </row>
    <row r="454" spans="1:21" ht="16.05" customHeight="1" x14ac:dyDescent="0.3">
      <c r="A454" s="16"/>
      <c r="B454" s="16"/>
      <c r="C454" s="17"/>
      <c r="D454" s="17"/>
      <c r="E454" s="16"/>
      <c r="F454" s="16"/>
      <c r="G454" s="16"/>
      <c r="H454" s="16"/>
      <c r="I454" s="17"/>
      <c r="J454" s="17"/>
      <c r="K454" s="17"/>
      <c r="L454" s="17"/>
      <c r="M454" s="17"/>
      <c r="N454" s="16"/>
      <c r="O454" s="16"/>
      <c r="P454" s="16"/>
      <c r="Q454" s="18"/>
      <c r="R454" s="18"/>
      <c r="S454" s="16"/>
      <c r="T454" s="16"/>
      <c r="U454" s="17"/>
    </row>
    <row r="455" spans="1:21" ht="16.05" customHeight="1" x14ac:dyDescent="0.3">
      <c r="A455" s="16"/>
      <c r="B455" s="16"/>
      <c r="C455" s="17"/>
      <c r="D455" s="17"/>
      <c r="E455" s="16"/>
      <c r="F455" s="16"/>
      <c r="G455" s="16"/>
      <c r="H455" s="16"/>
      <c r="I455" s="17"/>
      <c r="J455" s="17"/>
      <c r="K455" s="17"/>
      <c r="L455" s="17"/>
      <c r="M455" s="17"/>
      <c r="N455" s="16"/>
      <c r="O455" s="16"/>
      <c r="P455" s="16"/>
      <c r="Q455" s="18"/>
      <c r="R455" s="18"/>
      <c r="S455" s="16"/>
      <c r="T455" s="16"/>
      <c r="U455" s="17"/>
    </row>
    <row r="456" spans="1:21" ht="16.05" customHeight="1" x14ac:dyDescent="0.3">
      <c r="A456" s="16"/>
      <c r="B456" s="16"/>
      <c r="C456" s="17"/>
      <c r="D456" s="17"/>
      <c r="E456" s="16"/>
      <c r="F456" s="16"/>
      <c r="G456" s="16"/>
      <c r="H456" s="16"/>
      <c r="I456" s="17"/>
      <c r="J456" s="17"/>
      <c r="K456" s="17"/>
      <c r="L456" s="17"/>
      <c r="M456" s="17"/>
      <c r="N456" s="16"/>
      <c r="O456" s="16"/>
      <c r="P456" s="16"/>
      <c r="Q456" s="18"/>
      <c r="R456" s="18"/>
      <c r="S456" s="16"/>
      <c r="T456" s="16"/>
      <c r="U456" s="17"/>
    </row>
    <row r="457" spans="1:21" ht="16.05" customHeight="1" x14ac:dyDescent="0.3">
      <c r="A457" s="16"/>
      <c r="B457" s="16"/>
      <c r="C457" s="17"/>
      <c r="D457" s="17"/>
      <c r="E457" s="16"/>
      <c r="F457" s="16"/>
      <c r="G457" s="16"/>
      <c r="H457" s="16"/>
      <c r="I457" s="17"/>
      <c r="J457" s="17"/>
      <c r="K457" s="17"/>
      <c r="L457" s="17"/>
      <c r="M457" s="17"/>
      <c r="N457" s="16"/>
      <c r="O457" s="16"/>
      <c r="P457" s="16"/>
      <c r="Q457" s="18"/>
      <c r="R457" s="18"/>
      <c r="S457" s="16"/>
      <c r="T457" s="16"/>
      <c r="U457" s="17"/>
    </row>
    <row r="458" spans="1:21" ht="16.05" customHeight="1" x14ac:dyDescent="0.3">
      <c r="A458" s="16"/>
      <c r="B458" s="16"/>
      <c r="C458" s="17"/>
      <c r="D458" s="17"/>
      <c r="E458" s="16"/>
      <c r="F458" s="16"/>
      <c r="G458" s="16"/>
      <c r="H458" s="16"/>
      <c r="I458" s="17"/>
      <c r="J458" s="17"/>
      <c r="K458" s="17"/>
      <c r="L458" s="17"/>
      <c r="M458" s="17"/>
      <c r="N458" s="16"/>
      <c r="O458" s="16"/>
      <c r="P458" s="16"/>
      <c r="Q458" s="18"/>
      <c r="R458" s="18"/>
      <c r="S458" s="16"/>
      <c r="T458" s="16"/>
      <c r="U458" s="17"/>
    </row>
    <row r="459" spans="1:21" ht="16.05" customHeight="1" x14ac:dyDescent="0.3">
      <c r="A459" s="16"/>
      <c r="B459" s="16"/>
      <c r="C459" s="17"/>
      <c r="D459" s="17"/>
      <c r="E459" s="16"/>
      <c r="F459" s="16"/>
      <c r="G459" s="16"/>
      <c r="H459" s="16"/>
      <c r="I459" s="17"/>
      <c r="J459" s="17"/>
      <c r="K459" s="17"/>
      <c r="L459" s="17"/>
      <c r="M459" s="17"/>
      <c r="N459" s="16"/>
      <c r="O459" s="16"/>
      <c r="P459" s="16"/>
      <c r="Q459" s="18"/>
      <c r="R459" s="18"/>
      <c r="S459" s="16"/>
      <c r="T459" s="16"/>
      <c r="U459" s="17"/>
    </row>
    <row r="460" spans="1:21" ht="16.05" customHeight="1" x14ac:dyDescent="0.3">
      <c r="A460" s="16"/>
      <c r="B460" s="16"/>
      <c r="C460" s="17"/>
      <c r="D460" s="17"/>
      <c r="E460" s="16"/>
      <c r="F460" s="16"/>
      <c r="G460" s="16"/>
      <c r="H460" s="16"/>
      <c r="I460" s="17"/>
      <c r="J460" s="17"/>
      <c r="K460" s="17"/>
      <c r="L460" s="17"/>
      <c r="M460" s="17"/>
      <c r="N460" s="16"/>
      <c r="O460" s="16"/>
      <c r="P460" s="16"/>
      <c r="Q460" s="18"/>
      <c r="R460" s="18"/>
      <c r="S460" s="16"/>
      <c r="T460" s="16"/>
      <c r="U460" s="17"/>
    </row>
    <row r="461" spans="1:21" ht="16.05" customHeight="1" x14ac:dyDescent="0.3">
      <c r="A461" s="16"/>
      <c r="B461" s="16"/>
      <c r="C461" s="17"/>
      <c r="D461" s="17"/>
      <c r="E461" s="16"/>
      <c r="F461" s="16"/>
      <c r="G461" s="16"/>
      <c r="H461" s="16"/>
      <c r="I461" s="17"/>
      <c r="J461" s="17"/>
      <c r="K461" s="17"/>
      <c r="L461" s="17"/>
      <c r="M461" s="17"/>
      <c r="N461" s="16"/>
      <c r="O461" s="16"/>
      <c r="P461" s="16"/>
      <c r="Q461" s="18"/>
      <c r="R461" s="18"/>
      <c r="S461" s="16"/>
      <c r="T461" s="16"/>
      <c r="U461" s="17"/>
    </row>
    <row r="462" spans="1:21" ht="16.05" customHeight="1" x14ac:dyDescent="0.3">
      <c r="A462" s="16"/>
      <c r="B462" s="16"/>
      <c r="C462" s="17"/>
      <c r="D462" s="17"/>
      <c r="E462" s="16"/>
      <c r="F462" s="16"/>
      <c r="G462" s="16"/>
      <c r="H462" s="16"/>
      <c r="I462" s="17"/>
      <c r="J462" s="17"/>
      <c r="K462" s="17"/>
      <c r="L462" s="17"/>
      <c r="M462" s="17"/>
      <c r="N462" s="16"/>
      <c r="O462" s="16"/>
      <c r="P462" s="16"/>
      <c r="Q462" s="18"/>
      <c r="R462" s="18"/>
      <c r="S462" s="16"/>
      <c r="T462" s="16"/>
      <c r="U462" s="17"/>
    </row>
    <row r="463" spans="1:21" ht="16.05" customHeight="1" x14ac:dyDescent="0.3">
      <c r="A463" s="16"/>
      <c r="B463" s="16"/>
      <c r="C463" s="17"/>
      <c r="D463" s="17"/>
      <c r="E463" s="16"/>
      <c r="F463" s="16"/>
      <c r="G463" s="16"/>
      <c r="H463" s="16"/>
      <c r="I463" s="17"/>
      <c r="J463" s="17"/>
      <c r="K463" s="17"/>
      <c r="L463" s="17"/>
      <c r="M463" s="17"/>
      <c r="N463" s="16"/>
      <c r="O463" s="16"/>
      <c r="P463" s="16"/>
      <c r="Q463" s="18"/>
      <c r="R463" s="18"/>
      <c r="S463" s="16"/>
      <c r="T463" s="16"/>
      <c r="U463" s="17"/>
    </row>
    <row r="464" spans="1:21" ht="16.05" customHeight="1" x14ac:dyDescent="0.3">
      <c r="A464" s="16"/>
      <c r="B464" s="16"/>
      <c r="C464" s="17"/>
      <c r="D464" s="17"/>
      <c r="E464" s="16"/>
      <c r="F464" s="16"/>
      <c r="G464" s="16"/>
      <c r="H464" s="16"/>
      <c r="I464" s="17"/>
      <c r="J464" s="17"/>
      <c r="K464" s="17"/>
      <c r="L464" s="17"/>
      <c r="M464" s="17"/>
      <c r="N464" s="16"/>
      <c r="O464" s="16"/>
      <c r="P464" s="16"/>
      <c r="Q464" s="18"/>
      <c r="R464" s="18"/>
      <c r="S464" s="16"/>
      <c r="T464" s="16"/>
      <c r="U464" s="17"/>
    </row>
    <row r="465" spans="1:21" ht="16.05" customHeight="1" x14ac:dyDescent="0.3">
      <c r="A465" s="16"/>
      <c r="B465" s="16"/>
      <c r="C465" s="17"/>
      <c r="D465" s="17"/>
      <c r="E465" s="16"/>
      <c r="F465" s="16"/>
      <c r="G465" s="16"/>
      <c r="H465" s="16"/>
      <c r="I465" s="17"/>
      <c r="J465" s="17"/>
      <c r="K465" s="17"/>
      <c r="L465" s="17"/>
      <c r="M465" s="17"/>
      <c r="N465" s="16"/>
      <c r="O465" s="16"/>
      <c r="P465" s="16"/>
      <c r="Q465" s="18"/>
      <c r="R465" s="18"/>
      <c r="S465" s="16"/>
      <c r="T465" s="16"/>
      <c r="U465" s="17"/>
    </row>
    <row r="466" spans="1:21" ht="16.05" customHeight="1" x14ac:dyDescent="0.3">
      <c r="A466" s="16"/>
      <c r="B466" s="16"/>
      <c r="C466" s="17"/>
      <c r="D466" s="17"/>
      <c r="E466" s="16"/>
      <c r="F466" s="16"/>
      <c r="G466" s="16"/>
      <c r="H466" s="16"/>
      <c r="I466" s="17"/>
      <c r="J466" s="17"/>
      <c r="K466" s="17"/>
      <c r="L466" s="17"/>
      <c r="M466" s="17"/>
      <c r="N466" s="16"/>
      <c r="O466" s="16"/>
      <c r="P466" s="16"/>
      <c r="Q466" s="18"/>
      <c r="R466" s="18"/>
      <c r="S466" s="16"/>
      <c r="T466" s="16"/>
      <c r="U466" s="17"/>
    </row>
    <row r="467" spans="1:21" ht="16.05" customHeight="1" x14ac:dyDescent="0.3">
      <c r="A467" s="16"/>
      <c r="B467" s="16"/>
      <c r="C467" s="17"/>
      <c r="D467" s="17"/>
      <c r="E467" s="16"/>
      <c r="F467" s="16"/>
      <c r="G467" s="16"/>
      <c r="H467" s="16"/>
      <c r="I467" s="17"/>
      <c r="J467" s="17"/>
      <c r="K467" s="17"/>
      <c r="L467" s="17"/>
      <c r="M467" s="17"/>
      <c r="N467" s="16"/>
      <c r="O467" s="16"/>
      <c r="P467" s="16"/>
      <c r="Q467" s="18"/>
      <c r="R467" s="18"/>
      <c r="S467" s="16"/>
      <c r="T467" s="16"/>
      <c r="U467" s="17"/>
    </row>
    <row r="468" spans="1:21" ht="16.05" customHeight="1" x14ac:dyDescent="0.3">
      <c r="A468" s="16"/>
      <c r="B468" s="16"/>
      <c r="C468" s="17"/>
      <c r="D468" s="17"/>
      <c r="E468" s="16"/>
      <c r="F468" s="16"/>
      <c r="G468" s="16"/>
      <c r="H468" s="16"/>
      <c r="I468" s="17"/>
      <c r="J468" s="17"/>
      <c r="K468" s="17"/>
      <c r="L468" s="17"/>
      <c r="M468" s="17"/>
      <c r="N468" s="16"/>
      <c r="O468" s="16"/>
      <c r="P468" s="16"/>
      <c r="Q468" s="18"/>
      <c r="R468" s="18"/>
      <c r="S468" s="16"/>
      <c r="T468" s="16"/>
      <c r="U468" s="17"/>
    </row>
    <row r="469" spans="1:21" ht="16.05" customHeight="1" x14ac:dyDescent="0.3">
      <c r="A469" s="16"/>
      <c r="B469" s="16"/>
      <c r="C469" s="17"/>
      <c r="D469" s="17"/>
      <c r="E469" s="16"/>
      <c r="F469" s="16"/>
      <c r="G469" s="16"/>
      <c r="H469" s="16"/>
      <c r="I469" s="17"/>
      <c r="J469" s="17"/>
      <c r="K469" s="17"/>
      <c r="L469" s="17"/>
      <c r="M469" s="17"/>
      <c r="N469" s="16"/>
      <c r="O469" s="16"/>
      <c r="P469" s="16"/>
      <c r="Q469" s="18"/>
      <c r="R469" s="18"/>
      <c r="S469" s="16"/>
      <c r="T469" s="16"/>
      <c r="U469" s="17"/>
    </row>
    <row r="470" spans="1:21" ht="16.05" customHeight="1" x14ac:dyDescent="0.3">
      <c r="A470" s="16"/>
      <c r="B470" s="16"/>
      <c r="C470" s="17"/>
      <c r="D470" s="17"/>
      <c r="E470" s="16"/>
      <c r="F470" s="16"/>
      <c r="G470" s="16"/>
      <c r="H470" s="16"/>
      <c r="I470" s="17"/>
      <c r="J470" s="17"/>
      <c r="K470" s="17"/>
      <c r="L470" s="17"/>
      <c r="M470" s="17"/>
      <c r="N470" s="16"/>
      <c r="O470" s="16"/>
      <c r="P470" s="16"/>
      <c r="Q470" s="18"/>
      <c r="R470" s="18"/>
      <c r="S470" s="16"/>
      <c r="T470" s="16"/>
      <c r="U470" s="17"/>
    </row>
    <row r="471" spans="1:21" ht="16.05" customHeight="1" x14ac:dyDescent="0.3">
      <c r="A471" s="16"/>
      <c r="B471" s="16"/>
      <c r="C471" s="17"/>
      <c r="D471" s="17"/>
      <c r="E471" s="16"/>
      <c r="F471" s="16"/>
      <c r="G471" s="16"/>
      <c r="H471" s="16"/>
      <c r="I471" s="17"/>
      <c r="J471" s="17"/>
      <c r="K471" s="17"/>
      <c r="L471" s="17"/>
      <c r="M471" s="17"/>
      <c r="N471" s="16"/>
      <c r="O471" s="16"/>
      <c r="P471" s="16"/>
      <c r="Q471" s="18"/>
      <c r="R471" s="18"/>
      <c r="S471" s="16"/>
      <c r="T471" s="16"/>
      <c r="U471" s="17"/>
    </row>
    <row r="472" spans="1:21" ht="16.05" customHeight="1" x14ac:dyDescent="0.3">
      <c r="A472" s="16"/>
      <c r="B472" s="16"/>
      <c r="C472" s="17"/>
      <c r="D472" s="17"/>
      <c r="E472" s="16"/>
      <c r="F472" s="16"/>
      <c r="G472" s="16"/>
      <c r="H472" s="16"/>
      <c r="I472" s="17"/>
      <c r="J472" s="17"/>
      <c r="K472" s="17"/>
      <c r="L472" s="17"/>
      <c r="M472" s="17"/>
      <c r="N472" s="16"/>
      <c r="O472" s="16"/>
      <c r="P472" s="16"/>
      <c r="Q472" s="18"/>
      <c r="R472" s="18"/>
      <c r="S472" s="16"/>
      <c r="T472" s="16"/>
      <c r="U472" s="17"/>
    </row>
    <row r="473" spans="1:21" ht="16.05" customHeight="1" x14ac:dyDescent="0.3">
      <c r="A473" s="16"/>
      <c r="B473" s="16"/>
      <c r="C473" s="17"/>
      <c r="D473" s="17"/>
      <c r="E473" s="16"/>
      <c r="F473" s="16"/>
      <c r="G473" s="16"/>
      <c r="H473" s="16"/>
      <c r="I473" s="17"/>
      <c r="J473" s="17"/>
      <c r="K473" s="17"/>
      <c r="L473" s="17"/>
      <c r="M473" s="17"/>
      <c r="N473" s="16"/>
      <c r="O473" s="16"/>
      <c r="P473" s="16"/>
      <c r="Q473" s="18"/>
      <c r="R473" s="18"/>
      <c r="S473" s="16"/>
      <c r="T473" s="16"/>
      <c r="U473" s="17"/>
    </row>
    <row r="474" spans="1:21" ht="16.05" customHeight="1" x14ac:dyDescent="0.3">
      <c r="A474" s="16"/>
      <c r="B474" s="16"/>
      <c r="C474" s="17"/>
      <c r="D474" s="17"/>
      <c r="E474" s="16"/>
      <c r="F474" s="16"/>
      <c r="G474" s="16"/>
      <c r="H474" s="16"/>
      <c r="I474" s="17"/>
      <c r="J474" s="17"/>
      <c r="K474" s="17"/>
      <c r="L474" s="17"/>
      <c r="M474" s="17"/>
      <c r="N474" s="16"/>
      <c r="O474" s="16"/>
      <c r="P474" s="16"/>
      <c r="Q474" s="18"/>
      <c r="R474" s="18"/>
      <c r="S474" s="16"/>
      <c r="T474" s="16"/>
      <c r="U474" s="17"/>
    </row>
    <row r="475" spans="1:21" ht="16.05" customHeight="1" x14ac:dyDescent="0.3">
      <c r="A475" s="16"/>
      <c r="B475" s="16"/>
      <c r="C475" s="17"/>
      <c r="D475" s="17"/>
      <c r="E475" s="16"/>
      <c r="F475" s="16"/>
      <c r="G475" s="16"/>
      <c r="H475" s="16"/>
      <c r="I475" s="17"/>
      <c r="J475" s="17"/>
      <c r="K475" s="17"/>
      <c r="L475" s="17"/>
      <c r="M475" s="17"/>
      <c r="N475" s="16"/>
      <c r="O475" s="16"/>
      <c r="P475" s="16"/>
      <c r="Q475" s="18"/>
      <c r="R475" s="18"/>
      <c r="S475" s="16"/>
      <c r="T475" s="16"/>
      <c r="U475" s="17"/>
    </row>
    <row r="476" spans="1:21" ht="16.05" customHeight="1" x14ac:dyDescent="0.3">
      <c r="A476" s="16"/>
      <c r="B476" s="16"/>
      <c r="C476" s="17"/>
      <c r="D476" s="17"/>
      <c r="E476" s="16"/>
      <c r="F476" s="16"/>
      <c r="G476" s="16"/>
      <c r="H476" s="16"/>
      <c r="I476" s="17"/>
      <c r="J476" s="17"/>
      <c r="K476" s="17"/>
      <c r="L476" s="17"/>
      <c r="M476" s="17"/>
      <c r="N476" s="16"/>
      <c r="O476" s="16"/>
      <c r="P476" s="16"/>
      <c r="Q476" s="18"/>
      <c r="R476" s="18"/>
      <c r="S476" s="16"/>
      <c r="T476" s="16"/>
      <c r="U476" s="17"/>
    </row>
    <row r="477" spans="1:21" ht="16.05" customHeight="1" x14ac:dyDescent="0.3">
      <c r="A477" s="16"/>
      <c r="B477" s="16"/>
      <c r="C477" s="17"/>
      <c r="D477" s="17"/>
      <c r="E477" s="16"/>
      <c r="F477" s="16"/>
      <c r="G477" s="16"/>
      <c r="H477" s="16"/>
      <c r="I477" s="17"/>
      <c r="J477" s="17"/>
      <c r="K477" s="17"/>
      <c r="L477" s="17"/>
      <c r="M477" s="17"/>
      <c r="N477" s="16"/>
      <c r="O477" s="16"/>
      <c r="P477" s="16"/>
      <c r="Q477" s="18"/>
      <c r="R477" s="18"/>
      <c r="S477" s="16"/>
      <c r="T477" s="16"/>
      <c r="U477" s="17"/>
    </row>
    <row r="478" spans="1:21" ht="16.05" customHeight="1" x14ac:dyDescent="0.3">
      <c r="A478" s="16"/>
      <c r="B478" s="16"/>
      <c r="C478" s="17"/>
      <c r="D478" s="17"/>
      <c r="E478" s="16"/>
      <c r="F478" s="16"/>
      <c r="G478" s="16"/>
      <c r="H478" s="16"/>
      <c r="I478" s="17"/>
      <c r="J478" s="17"/>
      <c r="K478" s="17"/>
      <c r="L478" s="17"/>
      <c r="M478" s="17"/>
      <c r="N478" s="16"/>
      <c r="O478" s="16"/>
      <c r="P478" s="16"/>
      <c r="Q478" s="18"/>
      <c r="R478" s="18"/>
      <c r="S478" s="16"/>
      <c r="T478" s="16"/>
      <c r="U478" s="17"/>
    </row>
    <row r="479" spans="1:21" ht="16.05" customHeight="1" x14ac:dyDescent="0.3">
      <c r="A479" s="16"/>
      <c r="B479" s="16"/>
      <c r="C479" s="17"/>
      <c r="D479" s="17"/>
      <c r="E479" s="16"/>
      <c r="F479" s="16"/>
      <c r="G479" s="16"/>
      <c r="H479" s="16"/>
      <c r="I479" s="17"/>
      <c r="J479" s="17"/>
      <c r="K479" s="17"/>
      <c r="L479" s="17"/>
      <c r="M479" s="17"/>
      <c r="N479" s="16"/>
      <c r="O479" s="16"/>
      <c r="P479" s="16"/>
      <c r="Q479" s="18"/>
      <c r="R479" s="18"/>
      <c r="S479" s="16"/>
      <c r="T479" s="16"/>
      <c r="U479" s="17"/>
    </row>
    <row r="480" spans="1:21" ht="16.05" customHeight="1" x14ac:dyDescent="0.3">
      <c r="A480" s="16"/>
      <c r="B480" s="16"/>
      <c r="C480" s="17"/>
      <c r="D480" s="17"/>
      <c r="E480" s="16"/>
      <c r="F480" s="16"/>
      <c r="G480" s="16"/>
      <c r="H480" s="16"/>
      <c r="I480" s="17"/>
      <c r="J480" s="17"/>
      <c r="K480" s="17"/>
      <c r="L480" s="17"/>
      <c r="M480" s="17"/>
      <c r="N480" s="16"/>
      <c r="O480" s="16"/>
      <c r="P480" s="16"/>
      <c r="Q480" s="18"/>
      <c r="R480" s="18"/>
      <c r="S480" s="16"/>
      <c r="T480" s="16"/>
      <c r="U480" s="17"/>
    </row>
    <row r="481" spans="1:21" ht="16.05" customHeight="1" x14ac:dyDescent="0.3">
      <c r="A481" s="16"/>
      <c r="B481" s="16"/>
      <c r="C481" s="17"/>
      <c r="D481" s="17"/>
      <c r="E481" s="16"/>
      <c r="F481" s="16"/>
      <c r="G481" s="16"/>
      <c r="H481" s="16"/>
      <c r="I481" s="17"/>
      <c r="J481" s="17"/>
      <c r="K481" s="17"/>
      <c r="L481" s="17"/>
      <c r="M481" s="17"/>
      <c r="N481" s="16"/>
      <c r="O481" s="16"/>
      <c r="P481" s="16"/>
      <c r="Q481" s="18"/>
      <c r="R481" s="18"/>
      <c r="S481" s="16"/>
      <c r="T481" s="16"/>
      <c r="U481" s="17"/>
    </row>
    <row r="482" spans="1:21" ht="16.05" customHeight="1" x14ac:dyDescent="0.3">
      <c r="A482" s="16"/>
      <c r="B482" s="16"/>
      <c r="C482" s="17"/>
      <c r="D482" s="17"/>
      <c r="E482" s="16"/>
      <c r="F482" s="16"/>
      <c r="G482" s="16"/>
      <c r="H482" s="16"/>
      <c r="I482" s="17"/>
      <c r="J482" s="17"/>
      <c r="K482" s="17"/>
      <c r="L482" s="17"/>
      <c r="M482" s="17"/>
      <c r="N482" s="16"/>
      <c r="O482" s="16"/>
      <c r="P482" s="16"/>
      <c r="Q482" s="18"/>
      <c r="R482" s="18"/>
      <c r="S482" s="16"/>
      <c r="T482" s="16"/>
      <c r="U482" s="17"/>
    </row>
    <row r="483" spans="1:21" ht="16.05" customHeight="1" x14ac:dyDescent="0.3">
      <c r="A483" s="16"/>
      <c r="B483" s="16"/>
      <c r="C483" s="17"/>
      <c r="D483" s="17"/>
      <c r="E483" s="16"/>
      <c r="F483" s="16"/>
      <c r="G483" s="16"/>
      <c r="H483" s="16"/>
      <c r="I483" s="17"/>
      <c r="J483" s="17"/>
      <c r="K483" s="17"/>
      <c r="L483" s="17"/>
      <c r="M483" s="17"/>
      <c r="N483" s="16"/>
      <c r="O483" s="16"/>
      <c r="P483" s="16"/>
      <c r="Q483" s="18"/>
      <c r="R483" s="18"/>
      <c r="S483" s="16"/>
      <c r="T483" s="16"/>
      <c r="U483" s="17"/>
    </row>
    <row r="484" spans="1:21" ht="16.05" customHeight="1" x14ac:dyDescent="0.3">
      <c r="A484" s="16"/>
      <c r="B484" s="16"/>
      <c r="C484" s="17"/>
      <c r="D484" s="17"/>
      <c r="E484" s="16"/>
      <c r="F484" s="16"/>
      <c r="G484" s="16"/>
      <c r="H484" s="16"/>
      <c r="I484" s="17"/>
      <c r="J484" s="17"/>
      <c r="K484" s="17"/>
      <c r="L484" s="17"/>
      <c r="M484" s="17"/>
      <c r="N484" s="16"/>
      <c r="O484" s="16"/>
      <c r="P484" s="16"/>
      <c r="Q484" s="18"/>
      <c r="R484" s="18"/>
      <c r="S484" s="16"/>
      <c r="T484" s="16"/>
      <c r="U484" s="17"/>
    </row>
    <row r="485" spans="1:21" ht="16.05" customHeight="1" x14ac:dyDescent="0.3">
      <c r="A485" s="16"/>
      <c r="B485" s="16"/>
      <c r="C485" s="17"/>
      <c r="D485" s="17"/>
      <c r="E485" s="16"/>
      <c r="F485" s="16"/>
      <c r="G485" s="16"/>
      <c r="H485" s="16"/>
      <c r="I485" s="17"/>
      <c r="J485" s="17"/>
      <c r="K485" s="17"/>
      <c r="L485" s="17"/>
      <c r="M485" s="17"/>
      <c r="N485" s="16"/>
      <c r="O485" s="16"/>
      <c r="P485" s="16"/>
      <c r="Q485" s="18"/>
      <c r="R485" s="18"/>
      <c r="S485" s="16"/>
      <c r="T485" s="16"/>
      <c r="U485" s="17"/>
    </row>
    <row r="486" spans="1:21" ht="16.05" customHeight="1" x14ac:dyDescent="0.3">
      <c r="A486" s="16"/>
      <c r="B486" s="16"/>
      <c r="C486" s="17"/>
      <c r="D486" s="17"/>
      <c r="E486" s="16"/>
      <c r="F486" s="16"/>
      <c r="G486" s="16"/>
      <c r="H486" s="16"/>
      <c r="I486" s="17"/>
      <c r="J486" s="17"/>
      <c r="K486" s="17"/>
      <c r="L486" s="17"/>
      <c r="M486" s="17"/>
      <c r="N486" s="16"/>
      <c r="O486" s="16"/>
      <c r="P486" s="16"/>
      <c r="Q486" s="18"/>
      <c r="R486" s="18"/>
      <c r="S486" s="16"/>
      <c r="T486" s="16"/>
      <c r="U486" s="17"/>
    </row>
    <row r="487" spans="1:21" ht="16.05" customHeight="1" x14ac:dyDescent="0.3">
      <c r="A487" s="16"/>
      <c r="B487" s="16"/>
      <c r="C487" s="17"/>
      <c r="D487" s="17"/>
      <c r="E487" s="16"/>
      <c r="F487" s="16"/>
      <c r="G487" s="16"/>
      <c r="H487" s="16"/>
      <c r="I487" s="17"/>
      <c r="J487" s="17"/>
      <c r="K487" s="17"/>
      <c r="L487" s="17"/>
      <c r="M487" s="17"/>
      <c r="N487" s="16"/>
      <c r="O487" s="16"/>
      <c r="P487" s="16"/>
      <c r="Q487" s="18"/>
      <c r="R487" s="18"/>
      <c r="S487" s="16"/>
      <c r="T487" s="16"/>
      <c r="U487" s="17"/>
    </row>
    <row r="488" spans="1:21" ht="16.05" customHeight="1" x14ac:dyDescent="0.3">
      <c r="A488" s="16"/>
      <c r="B488" s="16"/>
      <c r="C488" s="17"/>
      <c r="D488" s="17"/>
      <c r="E488" s="16"/>
      <c r="F488" s="16"/>
      <c r="G488" s="16"/>
      <c r="H488" s="16"/>
      <c r="I488" s="17"/>
      <c r="J488" s="17"/>
      <c r="K488" s="17"/>
      <c r="L488" s="17"/>
      <c r="M488" s="17"/>
      <c r="N488" s="16"/>
      <c r="O488" s="16"/>
      <c r="P488" s="16"/>
      <c r="Q488" s="18"/>
      <c r="R488" s="18"/>
      <c r="S488" s="16"/>
      <c r="T488" s="16"/>
      <c r="U488" s="17"/>
    </row>
    <row r="489" spans="1:21" ht="16.05" customHeight="1" x14ac:dyDescent="0.3">
      <c r="A489" s="16"/>
      <c r="B489" s="16"/>
      <c r="C489" s="17"/>
      <c r="D489" s="17"/>
      <c r="E489" s="16"/>
      <c r="F489" s="16"/>
      <c r="G489" s="16"/>
      <c r="H489" s="16"/>
      <c r="I489" s="17"/>
      <c r="J489" s="17"/>
      <c r="K489" s="17"/>
      <c r="L489" s="17"/>
      <c r="M489" s="17"/>
      <c r="N489" s="16"/>
      <c r="O489" s="16"/>
      <c r="P489" s="16"/>
      <c r="Q489" s="18"/>
      <c r="R489" s="18"/>
      <c r="S489" s="16"/>
      <c r="T489" s="16"/>
      <c r="U489" s="17"/>
    </row>
    <row r="490" spans="1:21" ht="16.05" customHeight="1" x14ac:dyDescent="0.3">
      <c r="A490" s="16"/>
      <c r="B490" s="16"/>
      <c r="C490" s="17"/>
      <c r="D490" s="17"/>
      <c r="E490" s="16"/>
      <c r="F490" s="16"/>
      <c r="G490" s="16"/>
      <c r="H490" s="16"/>
      <c r="I490" s="17"/>
      <c r="J490" s="17"/>
      <c r="K490" s="17"/>
      <c r="L490" s="17"/>
      <c r="M490" s="17"/>
      <c r="N490" s="16"/>
      <c r="O490" s="16"/>
      <c r="P490" s="16"/>
      <c r="Q490" s="18"/>
      <c r="R490" s="18"/>
      <c r="S490" s="16"/>
      <c r="T490" s="16"/>
      <c r="U490" s="17"/>
    </row>
    <row r="491" spans="1:21" ht="16.05" customHeight="1" x14ac:dyDescent="0.3">
      <c r="A491" s="16"/>
      <c r="B491" s="16"/>
      <c r="C491" s="17"/>
      <c r="D491" s="17"/>
      <c r="E491" s="16"/>
      <c r="F491" s="16"/>
      <c r="G491" s="16"/>
      <c r="H491" s="16"/>
      <c r="I491" s="17"/>
      <c r="J491" s="17"/>
      <c r="K491" s="17"/>
      <c r="L491" s="17"/>
      <c r="M491" s="17"/>
      <c r="N491" s="16"/>
      <c r="O491" s="16"/>
      <c r="P491" s="16"/>
      <c r="Q491" s="18"/>
      <c r="R491" s="18"/>
      <c r="S491" s="16"/>
      <c r="T491" s="16"/>
      <c r="U491" s="17"/>
    </row>
    <row r="492" spans="1:21" ht="16.05" customHeight="1" x14ac:dyDescent="0.3">
      <c r="A492" s="16"/>
      <c r="B492" s="16"/>
      <c r="C492" s="17"/>
      <c r="D492" s="17"/>
      <c r="E492" s="16"/>
      <c r="F492" s="16"/>
      <c r="G492" s="16"/>
      <c r="H492" s="16"/>
      <c r="I492" s="17"/>
      <c r="J492" s="17"/>
      <c r="K492" s="17"/>
      <c r="L492" s="17"/>
      <c r="M492" s="17"/>
      <c r="N492" s="16"/>
      <c r="O492" s="16"/>
      <c r="P492" s="16"/>
      <c r="Q492" s="18"/>
      <c r="R492" s="18"/>
      <c r="S492" s="16"/>
      <c r="T492" s="16"/>
      <c r="U492" s="17"/>
    </row>
    <row r="493" spans="1:21" ht="16.05" customHeight="1" x14ac:dyDescent="0.3">
      <c r="A493" s="16"/>
      <c r="B493" s="16"/>
      <c r="C493" s="17"/>
      <c r="D493" s="17"/>
      <c r="E493" s="16"/>
      <c r="F493" s="16"/>
      <c r="G493" s="16"/>
      <c r="H493" s="16"/>
      <c r="I493" s="17"/>
      <c r="J493" s="17"/>
      <c r="K493" s="17"/>
      <c r="L493" s="17"/>
      <c r="M493" s="17"/>
      <c r="N493" s="16"/>
      <c r="O493" s="16"/>
      <c r="P493" s="16"/>
      <c r="Q493" s="18"/>
      <c r="R493" s="18"/>
      <c r="S493" s="16"/>
      <c r="T493" s="16"/>
      <c r="U493" s="17"/>
    </row>
    <row r="494" spans="1:21" ht="16.05" customHeight="1" x14ac:dyDescent="0.3">
      <c r="A494" s="16"/>
      <c r="B494" s="16"/>
      <c r="C494" s="17"/>
      <c r="D494" s="17"/>
      <c r="E494" s="16"/>
      <c r="F494" s="16"/>
      <c r="G494" s="16"/>
      <c r="H494" s="16"/>
      <c r="I494" s="17"/>
      <c r="J494" s="17"/>
      <c r="K494" s="17"/>
      <c r="L494" s="17"/>
      <c r="M494" s="17"/>
      <c r="N494" s="16"/>
      <c r="O494" s="16"/>
      <c r="P494" s="16"/>
      <c r="Q494" s="18"/>
      <c r="R494" s="18"/>
      <c r="S494" s="16"/>
      <c r="T494" s="16"/>
      <c r="U494" s="17"/>
    </row>
    <row r="495" spans="1:21" ht="16.05" customHeight="1" x14ac:dyDescent="0.3">
      <c r="A495" s="16"/>
      <c r="B495" s="16"/>
      <c r="C495" s="17"/>
      <c r="D495" s="17"/>
      <c r="E495" s="16"/>
      <c r="F495" s="16"/>
      <c r="G495" s="16"/>
      <c r="H495" s="16"/>
      <c r="I495" s="17"/>
      <c r="J495" s="17"/>
      <c r="K495" s="17"/>
      <c r="L495" s="17"/>
      <c r="M495" s="17"/>
      <c r="N495" s="16"/>
      <c r="O495" s="16"/>
      <c r="P495" s="16"/>
      <c r="Q495" s="18"/>
      <c r="R495" s="18"/>
      <c r="S495" s="16"/>
      <c r="T495" s="16"/>
      <c r="U495" s="17"/>
    </row>
    <row r="496" spans="1:21" ht="16.05" customHeight="1" x14ac:dyDescent="0.3">
      <c r="A496" s="16"/>
      <c r="B496" s="16"/>
      <c r="C496" s="17"/>
      <c r="D496" s="17"/>
      <c r="E496" s="16"/>
      <c r="F496" s="16"/>
      <c r="G496" s="16"/>
      <c r="H496" s="16"/>
      <c r="I496" s="17"/>
      <c r="J496" s="17"/>
      <c r="K496" s="17"/>
      <c r="L496" s="17"/>
      <c r="M496" s="17"/>
      <c r="N496" s="16"/>
      <c r="O496" s="16"/>
      <c r="P496" s="16"/>
      <c r="Q496" s="18"/>
      <c r="R496" s="18"/>
      <c r="S496" s="16"/>
      <c r="T496" s="16"/>
      <c r="U496" s="17"/>
    </row>
    <row r="497" spans="1:21" ht="16.05" customHeight="1" x14ac:dyDescent="0.3">
      <c r="A497" s="16"/>
      <c r="B497" s="16"/>
      <c r="C497" s="17"/>
      <c r="D497" s="17"/>
      <c r="E497" s="16"/>
      <c r="F497" s="16"/>
      <c r="G497" s="16"/>
      <c r="H497" s="16"/>
      <c r="I497" s="17"/>
      <c r="J497" s="17"/>
      <c r="K497" s="17"/>
      <c r="L497" s="17"/>
      <c r="M497" s="17"/>
      <c r="N497" s="16"/>
      <c r="O497" s="16"/>
      <c r="P497" s="16"/>
      <c r="Q497" s="18"/>
      <c r="R497" s="18"/>
      <c r="S497" s="16"/>
      <c r="T497" s="16"/>
      <c r="U497" s="17"/>
    </row>
    <row r="498" spans="1:21" ht="16.05" customHeight="1" x14ac:dyDescent="0.3">
      <c r="A498" s="16"/>
      <c r="B498" s="16"/>
      <c r="C498" s="17"/>
      <c r="D498" s="17"/>
      <c r="E498" s="16"/>
      <c r="F498" s="16"/>
      <c r="G498" s="16"/>
      <c r="H498" s="16"/>
      <c r="I498" s="17"/>
      <c r="J498" s="17"/>
      <c r="K498" s="17"/>
      <c r="L498" s="17"/>
      <c r="M498" s="17"/>
      <c r="N498" s="16"/>
      <c r="O498" s="16"/>
      <c r="P498" s="16"/>
      <c r="Q498" s="18"/>
      <c r="R498" s="18"/>
      <c r="S498" s="16"/>
      <c r="T498" s="16"/>
      <c r="U498" s="17"/>
    </row>
    <row r="499" spans="1:21" ht="16.05" customHeight="1" x14ac:dyDescent="0.3">
      <c r="A499" s="16"/>
      <c r="B499" s="16"/>
      <c r="C499" s="17"/>
      <c r="D499" s="17"/>
      <c r="E499" s="16"/>
      <c r="F499" s="16"/>
      <c r="G499" s="16"/>
      <c r="H499" s="16"/>
      <c r="I499" s="17"/>
      <c r="J499" s="17"/>
      <c r="K499" s="17"/>
      <c r="L499" s="17"/>
      <c r="M499" s="17"/>
      <c r="N499" s="16"/>
      <c r="O499" s="16"/>
      <c r="P499" s="16"/>
      <c r="Q499" s="18"/>
      <c r="R499" s="18"/>
      <c r="S499" s="16"/>
      <c r="T499" s="16"/>
      <c r="U499" s="17"/>
    </row>
    <row r="500" spans="1:21" ht="16.05" customHeight="1" x14ac:dyDescent="0.3">
      <c r="A500" s="16"/>
      <c r="B500" s="16"/>
      <c r="C500" s="17"/>
      <c r="D500" s="17"/>
      <c r="E500" s="16"/>
      <c r="F500" s="16"/>
      <c r="G500" s="16"/>
      <c r="H500" s="16"/>
      <c r="I500" s="17"/>
      <c r="J500" s="17"/>
      <c r="K500" s="17"/>
      <c r="L500" s="17"/>
      <c r="M500" s="17"/>
      <c r="N500" s="16"/>
      <c r="O500" s="16"/>
      <c r="P500" s="16"/>
      <c r="Q500" s="18"/>
      <c r="R500" s="18"/>
      <c r="S500" s="16"/>
      <c r="T500" s="16"/>
      <c r="U500" s="17"/>
    </row>
    <row r="501" spans="1:21" ht="16.05" customHeight="1" x14ac:dyDescent="0.3">
      <c r="A501" s="16"/>
      <c r="B501" s="16"/>
      <c r="C501" s="17"/>
      <c r="D501" s="17"/>
      <c r="E501" s="16"/>
      <c r="F501" s="16"/>
      <c r="G501" s="16"/>
      <c r="H501" s="16"/>
      <c r="I501" s="17"/>
      <c r="J501" s="17"/>
      <c r="K501" s="17"/>
      <c r="L501" s="17"/>
      <c r="M501" s="17"/>
      <c r="N501" s="16"/>
      <c r="O501" s="16"/>
      <c r="P501" s="16"/>
      <c r="Q501" s="18"/>
      <c r="R501" s="18"/>
      <c r="S501" s="16"/>
      <c r="T501" s="16"/>
      <c r="U501" s="17"/>
    </row>
    <row r="502" spans="1:21" ht="16.05" customHeight="1" x14ac:dyDescent="0.3">
      <c r="A502" s="16"/>
      <c r="B502" s="16"/>
      <c r="C502" s="17"/>
      <c r="D502" s="17"/>
      <c r="E502" s="16"/>
      <c r="F502" s="16"/>
      <c r="G502" s="16"/>
      <c r="H502" s="16"/>
      <c r="I502" s="17"/>
      <c r="J502" s="17"/>
      <c r="K502" s="17"/>
      <c r="L502" s="17"/>
      <c r="M502" s="17"/>
      <c r="N502" s="16"/>
      <c r="O502" s="16"/>
      <c r="P502" s="16"/>
      <c r="Q502" s="18"/>
      <c r="R502" s="18"/>
      <c r="S502" s="16"/>
      <c r="T502" s="16"/>
      <c r="U502" s="17"/>
    </row>
  </sheetData>
  <mergeCells count="6">
    <mergeCell ref="A1:D1"/>
    <mergeCell ref="S1:U1"/>
    <mergeCell ref="Q1:R1"/>
    <mergeCell ref="N1:P1"/>
    <mergeCell ref="E1:H1"/>
    <mergeCell ref="I1:M1"/>
  </mergeCells>
  <dataValidations count="1">
    <dataValidation type="list" allowBlank="1" sqref="S3:S502" xr:uid="{00000000-0002-0000-0100-000000000000}">
      <formula1>"EN PREPARACION,LISTO,GENERADO"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9"/>
  <sheetViews>
    <sheetView zoomScale="9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12" customWidth="1"/>
    <col min="3" max="3" width="30" customWidth="1"/>
    <col min="4" max="4" width="25" customWidth="1"/>
    <col min="5" max="5" width="10" customWidth="1"/>
  </cols>
  <sheetData>
    <row r="1" spans="1:5" ht="22.05" customHeight="1" x14ac:dyDescent="0.3">
      <c r="A1" s="1" t="s">
        <v>79</v>
      </c>
      <c r="B1" s="1" t="s">
        <v>87</v>
      </c>
      <c r="C1" s="1" t="s">
        <v>88</v>
      </c>
      <c r="D1" s="1" t="s">
        <v>89</v>
      </c>
      <c r="E1" s="1" t="s">
        <v>90</v>
      </c>
    </row>
    <row r="2" spans="1:5" ht="16.05" customHeight="1" x14ac:dyDescent="0.3">
      <c r="A2" s="19">
        <v>6</v>
      </c>
      <c r="B2" s="19" t="s">
        <v>91</v>
      </c>
      <c r="C2" s="20" t="s">
        <v>92</v>
      </c>
      <c r="D2" s="20" t="s">
        <v>93</v>
      </c>
      <c r="E2" s="19" t="s">
        <v>94</v>
      </c>
    </row>
    <row r="3" spans="1:5" ht="16.05" customHeight="1" x14ac:dyDescent="0.3">
      <c r="A3" s="19">
        <v>6</v>
      </c>
      <c r="B3" s="19" t="s">
        <v>95</v>
      </c>
      <c r="C3" s="20" t="s">
        <v>96</v>
      </c>
      <c r="D3" s="20" t="s">
        <v>96</v>
      </c>
      <c r="E3" s="19" t="s">
        <v>94</v>
      </c>
    </row>
    <row r="4" spans="1:5" ht="16.05" customHeight="1" x14ac:dyDescent="0.3">
      <c r="A4" s="19">
        <v>6</v>
      </c>
      <c r="B4" s="19" t="s">
        <v>97</v>
      </c>
      <c r="C4" s="20" t="s">
        <v>98</v>
      </c>
      <c r="D4" s="20" t="s">
        <v>98</v>
      </c>
      <c r="E4" s="19" t="s">
        <v>94</v>
      </c>
    </row>
    <row r="5" spans="1:5" ht="16.05" customHeight="1" x14ac:dyDescent="0.3">
      <c r="A5" s="19">
        <v>6</v>
      </c>
      <c r="B5" s="19" t="s">
        <v>99</v>
      </c>
      <c r="C5" s="20" t="s">
        <v>100</v>
      </c>
      <c r="D5" s="20" t="s">
        <v>98</v>
      </c>
      <c r="E5" s="19" t="s">
        <v>94</v>
      </c>
    </row>
    <row r="6" spans="1:5" ht="16.05" customHeight="1" x14ac:dyDescent="0.3">
      <c r="A6" s="19">
        <v>9</v>
      </c>
      <c r="B6" s="19" t="s">
        <v>101</v>
      </c>
      <c r="C6" s="20" t="s">
        <v>102</v>
      </c>
      <c r="D6" s="20" t="s">
        <v>103</v>
      </c>
      <c r="E6" s="19" t="s">
        <v>94</v>
      </c>
    </row>
    <row r="7" spans="1:5" ht="16.05" customHeight="1" x14ac:dyDescent="0.3">
      <c r="A7" s="19">
        <v>9</v>
      </c>
      <c r="B7" s="19" t="s">
        <v>104</v>
      </c>
      <c r="C7" s="20" t="s">
        <v>105</v>
      </c>
      <c r="D7" s="20" t="s">
        <v>106</v>
      </c>
      <c r="E7" s="19" t="s">
        <v>107</v>
      </c>
    </row>
    <row r="8" spans="1:5" ht="16.05" customHeight="1" x14ac:dyDescent="0.3">
      <c r="A8" s="16"/>
      <c r="B8" s="16"/>
      <c r="C8" s="17"/>
      <c r="D8" s="17"/>
      <c r="E8" s="16"/>
    </row>
    <row r="9" spans="1:5" ht="16.05" customHeight="1" x14ac:dyDescent="0.3">
      <c r="A9" s="16"/>
      <c r="B9" s="16"/>
      <c r="C9" s="17"/>
      <c r="D9" s="17"/>
      <c r="E9" s="16"/>
    </row>
    <row r="10" spans="1:5" ht="16.05" customHeight="1" x14ac:dyDescent="0.3">
      <c r="A10" s="16"/>
      <c r="B10" s="16"/>
      <c r="C10" s="17"/>
      <c r="D10" s="17"/>
      <c r="E10" s="16"/>
    </row>
    <row r="11" spans="1:5" ht="16.05" customHeight="1" x14ac:dyDescent="0.3">
      <c r="A11" s="16"/>
      <c r="B11" s="16"/>
      <c r="C11" s="17"/>
      <c r="D11" s="17"/>
      <c r="E11" s="16"/>
    </row>
    <row r="12" spans="1:5" ht="16.05" customHeight="1" x14ac:dyDescent="0.3">
      <c r="A12" s="16"/>
      <c r="B12" s="16"/>
      <c r="C12" s="17"/>
      <c r="D12" s="17"/>
      <c r="E12" s="16"/>
    </row>
    <row r="13" spans="1:5" ht="16.05" customHeight="1" x14ac:dyDescent="0.3">
      <c r="A13" s="16"/>
      <c r="B13" s="16"/>
      <c r="C13" s="17"/>
      <c r="D13" s="17"/>
      <c r="E13" s="16"/>
    </row>
    <row r="14" spans="1:5" ht="16.05" customHeight="1" x14ac:dyDescent="0.3">
      <c r="A14" s="16"/>
      <c r="B14" s="16"/>
      <c r="C14" s="17"/>
      <c r="D14" s="17"/>
      <c r="E14" s="16"/>
    </row>
    <row r="15" spans="1:5" ht="16.05" customHeight="1" x14ac:dyDescent="0.3">
      <c r="A15" s="16"/>
      <c r="B15" s="16"/>
      <c r="C15" s="17"/>
      <c r="D15" s="17"/>
      <c r="E15" s="16"/>
    </row>
    <row r="16" spans="1:5" ht="16.05" customHeight="1" x14ac:dyDescent="0.3">
      <c r="A16" s="16"/>
      <c r="B16" s="16"/>
      <c r="C16" s="17"/>
      <c r="D16" s="17"/>
      <c r="E16" s="16"/>
    </row>
    <row r="17" spans="1:5" ht="16.05" customHeight="1" x14ac:dyDescent="0.3">
      <c r="A17" s="16"/>
      <c r="B17" s="16"/>
      <c r="C17" s="17"/>
      <c r="D17" s="17"/>
      <c r="E17" s="16"/>
    </row>
    <row r="18" spans="1:5" ht="16.05" customHeight="1" x14ac:dyDescent="0.3">
      <c r="A18" s="16"/>
      <c r="B18" s="16"/>
      <c r="C18" s="17"/>
      <c r="D18" s="17"/>
      <c r="E18" s="16"/>
    </row>
    <row r="19" spans="1:5" ht="16.05" customHeight="1" x14ac:dyDescent="0.3">
      <c r="A19" s="16"/>
      <c r="B19" s="16"/>
      <c r="C19" s="17"/>
      <c r="D19" s="17"/>
      <c r="E19" s="16"/>
    </row>
    <row r="20" spans="1:5" ht="16.05" customHeight="1" x14ac:dyDescent="0.3">
      <c r="A20" s="16"/>
      <c r="B20" s="16"/>
      <c r="C20" s="17"/>
      <c r="D20" s="17"/>
      <c r="E20" s="16"/>
    </row>
    <row r="21" spans="1:5" ht="16.05" customHeight="1" x14ac:dyDescent="0.3">
      <c r="A21" s="16"/>
      <c r="B21" s="16"/>
      <c r="C21" s="17"/>
      <c r="D21" s="17"/>
      <c r="E21" s="16"/>
    </row>
    <row r="22" spans="1:5" ht="16.05" customHeight="1" x14ac:dyDescent="0.3">
      <c r="A22" s="16"/>
      <c r="B22" s="16"/>
      <c r="C22" s="17"/>
      <c r="D22" s="17"/>
      <c r="E22" s="16"/>
    </row>
    <row r="23" spans="1:5" ht="16.05" customHeight="1" x14ac:dyDescent="0.3">
      <c r="A23" s="16"/>
      <c r="B23" s="16"/>
      <c r="C23" s="17"/>
      <c r="D23" s="17"/>
      <c r="E23" s="16"/>
    </row>
    <row r="24" spans="1:5" ht="16.05" customHeight="1" x14ac:dyDescent="0.3">
      <c r="A24" s="16"/>
      <c r="B24" s="16"/>
      <c r="C24" s="17"/>
      <c r="D24" s="17"/>
      <c r="E24" s="16"/>
    </row>
    <row r="25" spans="1:5" ht="16.05" customHeight="1" x14ac:dyDescent="0.3">
      <c r="A25" s="16"/>
      <c r="B25" s="16"/>
      <c r="C25" s="17"/>
      <c r="D25" s="17"/>
      <c r="E25" s="16"/>
    </row>
    <row r="26" spans="1:5" ht="16.05" customHeight="1" x14ac:dyDescent="0.3">
      <c r="A26" s="16"/>
      <c r="B26" s="16"/>
      <c r="C26" s="17"/>
      <c r="D26" s="17"/>
      <c r="E26" s="16"/>
    </row>
    <row r="27" spans="1:5" ht="16.05" customHeight="1" x14ac:dyDescent="0.3">
      <c r="A27" s="16"/>
      <c r="B27" s="16"/>
      <c r="C27" s="17"/>
      <c r="D27" s="17"/>
      <c r="E27" s="16"/>
    </row>
    <row r="28" spans="1:5" ht="16.05" customHeight="1" x14ac:dyDescent="0.3">
      <c r="A28" s="16"/>
      <c r="B28" s="16"/>
      <c r="C28" s="17"/>
      <c r="D28" s="17"/>
      <c r="E28" s="16"/>
    </row>
    <row r="29" spans="1:5" ht="16.05" customHeight="1" x14ac:dyDescent="0.3">
      <c r="A29" s="16"/>
      <c r="B29" s="16"/>
      <c r="C29" s="17"/>
      <c r="D29" s="17"/>
      <c r="E29" s="16"/>
    </row>
    <row r="30" spans="1:5" ht="16.05" customHeight="1" x14ac:dyDescent="0.3">
      <c r="A30" s="16"/>
      <c r="B30" s="16"/>
      <c r="C30" s="17"/>
      <c r="D30" s="17"/>
      <c r="E30" s="16"/>
    </row>
    <row r="31" spans="1:5" ht="16.05" customHeight="1" x14ac:dyDescent="0.3">
      <c r="A31" s="16"/>
      <c r="B31" s="16"/>
      <c r="C31" s="17"/>
      <c r="D31" s="17"/>
      <c r="E31" s="16"/>
    </row>
    <row r="32" spans="1:5" ht="16.05" customHeight="1" x14ac:dyDescent="0.3">
      <c r="A32" s="16"/>
      <c r="B32" s="16"/>
      <c r="C32" s="17"/>
      <c r="D32" s="17"/>
      <c r="E32" s="16"/>
    </row>
    <row r="33" spans="1:5" ht="16.05" customHeight="1" x14ac:dyDescent="0.3">
      <c r="A33" s="16"/>
      <c r="B33" s="16"/>
      <c r="C33" s="17"/>
      <c r="D33" s="17"/>
      <c r="E33" s="16"/>
    </row>
    <row r="34" spans="1:5" ht="16.05" customHeight="1" x14ac:dyDescent="0.3">
      <c r="A34" s="16"/>
      <c r="B34" s="16"/>
      <c r="C34" s="17"/>
      <c r="D34" s="17"/>
      <c r="E34" s="16"/>
    </row>
    <row r="35" spans="1:5" ht="16.05" customHeight="1" x14ac:dyDescent="0.3">
      <c r="A35" s="16"/>
      <c r="B35" s="16"/>
      <c r="C35" s="17"/>
      <c r="D35" s="17"/>
      <c r="E35" s="16"/>
    </row>
    <row r="36" spans="1:5" ht="16.05" customHeight="1" x14ac:dyDescent="0.3">
      <c r="A36" s="16"/>
      <c r="B36" s="16"/>
      <c r="C36" s="17"/>
      <c r="D36" s="17"/>
      <c r="E36" s="16"/>
    </row>
    <row r="37" spans="1:5" ht="16.05" customHeight="1" x14ac:dyDescent="0.3">
      <c r="A37" s="16"/>
      <c r="B37" s="16"/>
      <c r="C37" s="17"/>
      <c r="D37" s="17"/>
      <c r="E37" s="16"/>
    </row>
    <row r="38" spans="1:5" ht="16.05" customHeight="1" x14ac:dyDescent="0.3">
      <c r="A38" s="16"/>
      <c r="B38" s="16"/>
      <c r="C38" s="17"/>
      <c r="D38" s="17"/>
      <c r="E38" s="16"/>
    </row>
    <row r="39" spans="1:5" ht="16.05" customHeight="1" x14ac:dyDescent="0.3">
      <c r="A39" s="16"/>
      <c r="B39" s="16"/>
      <c r="C39" s="17"/>
      <c r="D39" s="17"/>
      <c r="E39" s="16"/>
    </row>
    <row r="40" spans="1:5" ht="16.05" customHeight="1" x14ac:dyDescent="0.3">
      <c r="A40" s="16"/>
      <c r="B40" s="16"/>
      <c r="C40" s="17"/>
      <c r="D40" s="17"/>
      <c r="E40" s="16"/>
    </row>
    <row r="41" spans="1:5" ht="16.05" customHeight="1" x14ac:dyDescent="0.3">
      <c r="A41" s="16"/>
      <c r="B41" s="16"/>
      <c r="C41" s="17"/>
      <c r="D41" s="17"/>
      <c r="E41" s="16"/>
    </row>
    <row r="42" spans="1:5" ht="16.05" customHeight="1" x14ac:dyDescent="0.3">
      <c r="A42" s="16"/>
      <c r="B42" s="16"/>
      <c r="C42" s="17"/>
      <c r="D42" s="17"/>
      <c r="E42" s="16"/>
    </row>
    <row r="43" spans="1:5" ht="16.05" customHeight="1" x14ac:dyDescent="0.3">
      <c r="A43" s="16"/>
      <c r="B43" s="16"/>
      <c r="C43" s="17"/>
      <c r="D43" s="17"/>
      <c r="E43" s="16"/>
    </row>
    <row r="44" spans="1:5" ht="16.05" customHeight="1" x14ac:dyDescent="0.3">
      <c r="A44" s="16"/>
      <c r="B44" s="16"/>
      <c r="C44" s="17"/>
      <c r="D44" s="17"/>
      <c r="E44" s="16"/>
    </row>
    <row r="45" spans="1:5" ht="16.05" customHeight="1" x14ac:dyDescent="0.3">
      <c r="A45" s="16"/>
      <c r="B45" s="16"/>
      <c r="C45" s="17"/>
      <c r="D45" s="17"/>
      <c r="E45" s="16"/>
    </row>
    <row r="46" spans="1:5" ht="16.05" customHeight="1" x14ac:dyDescent="0.3">
      <c r="A46" s="16"/>
      <c r="B46" s="16"/>
      <c r="C46" s="17"/>
      <c r="D46" s="17"/>
      <c r="E46" s="16"/>
    </row>
    <row r="47" spans="1:5" ht="16.05" customHeight="1" x14ac:dyDescent="0.3">
      <c r="A47" s="16"/>
      <c r="B47" s="16"/>
      <c r="C47" s="17"/>
      <c r="D47" s="17"/>
      <c r="E47" s="16"/>
    </row>
    <row r="48" spans="1:5" ht="16.05" customHeight="1" x14ac:dyDescent="0.3">
      <c r="A48" s="16"/>
      <c r="B48" s="16"/>
      <c r="C48" s="17"/>
      <c r="D48" s="17"/>
      <c r="E48" s="16"/>
    </row>
    <row r="49" spans="1:5" ht="16.05" customHeight="1" x14ac:dyDescent="0.3">
      <c r="A49" s="16"/>
      <c r="B49" s="16"/>
      <c r="C49" s="17"/>
      <c r="D49" s="17"/>
      <c r="E49" s="16"/>
    </row>
    <row r="50" spans="1:5" ht="16.05" customHeight="1" x14ac:dyDescent="0.3">
      <c r="A50" s="16"/>
      <c r="B50" s="16"/>
      <c r="C50" s="17"/>
      <c r="D50" s="17"/>
      <c r="E50" s="16"/>
    </row>
    <row r="51" spans="1:5" ht="16.05" customHeight="1" x14ac:dyDescent="0.3">
      <c r="A51" s="16"/>
      <c r="B51" s="16"/>
      <c r="C51" s="17"/>
      <c r="D51" s="17"/>
      <c r="E51" s="16"/>
    </row>
    <row r="52" spans="1:5" ht="16.05" customHeight="1" x14ac:dyDescent="0.3">
      <c r="A52" s="16"/>
      <c r="B52" s="16"/>
      <c r="C52" s="17"/>
      <c r="D52" s="17"/>
      <c r="E52" s="16"/>
    </row>
    <row r="53" spans="1:5" ht="16.05" customHeight="1" x14ac:dyDescent="0.3">
      <c r="A53" s="16"/>
      <c r="B53" s="16"/>
      <c r="C53" s="17"/>
      <c r="D53" s="17"/>
      <c r="E53" s="16"/>
    </row>
    <row r="54" spans="1:5" ht="16.05" customHeight="1" x14ac:dyDescent="0.3">
      <c r="A54" s="16"/>
      <c r="B54" s="16"/>
      <c r="C54" s="17"/>
      <c r="D54" s="17"/>
      <c r="E54" s="16"/>
    </row>
    <row r="55" spans="1:5" ht="16.05" customHeight="1" x14ac:dyDescent="0.3">
      <c r="A55" s="16"/>
      <c r="B55" s="16"/>
      <c r="C55" s="17"/>
      <c r="D55" s="17"/>
      <c r="E55" s="16"/>
    </row>
    <row r="56" spans="1:5" ht="16.05" customHeight="1" x14ac:dyDescent="0.3">
      <c r="A56" s="16"/>
      <c r="B56" s="16"/>
      <c r="C56" s="17"/>
      <c r="D56" s="17"/>
      <c r="E56" s="16"/>
    </row>
    <row r="57" spans="1:5" ht="16.05" customHeight="1" x14ac:dyDescent="0.3">
      <c r="A57" s="16"/>
      <c r="B57" s="16"/>
      <c r="C57" s="17"/>
      <c r="D57" s="17"/>
      <c r="E57" s="16"/>
    </row>
    <row r="58" spans="1:5" ht="16.05" customHeight="1" x14ac:dyDescent="0.3">
      <c r="A58" s="16"/>
      <c r="B58" s="16"/>
      <c r="C58" s="17"/>
      <c r="D58" s="17"/>
      <c r="E58" s="16"/>
    </row>
    <row r="59" spans="1:5" ht="16.05" customHeight="1" x14ac:dyDescent="0.3">
      <c r="A59" s="16"/>
      <c r="B59" s="16"/>
      <c r="C59" s="17"/>
      <c r="D59" s="17"/>
      <c r="E59" s="16"/>
    </row>
    <row r="60" spans="1:5" ht="16.05" customHeight="1" x14ac:dyDescent="0.3">
      <c r="A60" s="16"/>
      <c r="B60" s="16"/>
      <c r="C60" s="17"/>
      <c r="D60" s="17"/>
      <c r="E60" s="16"/>
    </row>
    <row r="61" spans="1:5" ht="16.05" customHeight="1" x14ac:dyDescent="0.3">
      <c r="A61" s="16"/>
      <c r="B61" s="16"/>
      <c r="C61" s="17"/>
      <c r="D61" s="17"/>
      <c r="E61" s="16"/>
    </row>
    <row r="62" spans="1:5" ht="16.05" customHeight="1" x14ac:dyDescent="0.3">
      <c r="A62" s="16"/>
      <c r="B62" s="16"/>
      <c r="C62" s="17"/>
      <c r="D62" s="17"/>
      <c r="E62" s="16"/>
    </row>
    <row r="63" spans="1:5" ht="16.05" customHeight="1" x14ac:dyDescent="0.3">
      <c r="A63" s="16"/>
      <c r="B63" s="16"/>
      <c r="C63" s="17"/>
      <c r="D63" s="17"/>
      <c r="E63" s="16"/>
    </row>
    <row r="64" spans="1:5" ht="16.05" customHeight="1" x14ac:dyDescent="0.3">
      <c r="A64" s="16"/>
      <c r="B64" s="16"/>
      <c r="C64" s="17"/>
      <c r="D64" s="17"/>
      <c r="E64" s="16"/>
    </row>
    <row r="65" spans="1:5" ht="16.05" customHeight="1" x14ac:dyDescent="0.3">
      <c r="A65" s="16"/>
      <c r="B65" s="16"/>
      <c r="C65" s="17"/>
      <c r="D65" s="17"/>
      <c r="E65" s="16"/>
    </row>
    <row r="66" spans="1:5" ht="16.05" customHeight="1" x14ac:dyDescent="0.3">
      <c r="A66" s="16"/>
      <c r="B66" s="16"/>
      <c r="C66" s="17"/>
      <c r="D66" s="17"/>
      <c r="E66" s="16"/>
    </row>
    <row r="67" spans="1:5" ht="16.05" customHeight="1" x14ac:dyDescent="0.3">
      <c r="A67" s="16"/>
      <c r="B67" s="16"/>
      <c r="C67" s="17"/>
      <c r="D67" s="17"/>
      <c r="E67" s="16"/>
    </row>
    <row r="68" spans="1:5" ht="16.05" customHeight="1" x14ac:dyDescent="0.3">
      <c r="A68" s="16"/>
      <c r="B68" s="16"/>
      <c r="C68" s="17"/>
      <c r="D68" s="17"/>
      <c r="E68" s="16"/>
    </row>
    <row r="69" spans="1:5" ht="16.05" customHeight="1" x14ac:dyDescent="0.3">
      <c r="A69" s="16"/>
      <c r="B69" s="16"/>
      <c r="C69" s="17"/>
      <c r="D69" s="17"/>
      <c r="E69" s="16"/>
    </row>
    <row r="70" spans="1:5" ht="16.05" customHeight="1" x14ac:dyDescent="0.3">
      <c r="A70" s="16"/>
      <c r="B70" s="16"/>
      <c r="C70" s="17"/>
      <c r="D70" s="17"/>
      <c r="E70" s="16"/>
    </row>
    <row r="71" spans="1:5" ht="16.05" customHeight="1" x14ac:dyDescent="0.3">
      <c r="A71" s="16"/>
      <c r="B71" s="16"/>
      <c r="C71" s="17"/>
      <c r="D71" s="17"/>
      <c r="E71" s="16"/>
    </row>
    <row r="72" spans="1:5" ht="16.05" customHeight="1" x14ac:dyDescent="0.3">
      <c r="A72" s="16"/>
      <c r="B72" s="16"/>
      <c r="C72" s="17"/>
      <c r="D72" s="17"/>
      <c r="E72" s="16"/>
    </row>
    <row r="73" spans="1:5" ht="16.05" customHeight="1" x14ac:dyDescent="0.3">
      <c r="A73" s="16"/>
      <c r="B73" s="16"/>
      <c r="C73" s="17"/>
      <c r="D73" s="17"/>
      <c r="E73" s="16"/>
    </row>
    <row r="74" spans="1:5" ht="16.05" customHeight="1" x14ac:dyDescent="0.3">
      <c r="A74" s="16"/>
      <c r="B74" s="16"/>
      <c r="C74" s="17"/>
      <c r="D74" s="17"/>
      <c r="E74" s="16"/>
    </row>
    <row r="75" spans="1:5" ht="16.05" customHeight="1" x14ac:dyDescent="0.3">
      <c r="A75" s="16"/>
      <c r="B75" s="16"/>
      <c r="C75" s="17"/>
      <c r="D75" s="17"/>
      <c r="E75" s="16"/>
    </row>
    <row r="76" spans="1:5" ht="16.05" customHeight="1" x14ac:dyDescent="0.3">
      <c r="A76" s="16"/>
      <c r="B76" s="16"/>
      <c r="C76" s="17"/>
      <c r="D76" s="17"/>
      <c r="E76" s="16"/>
    </row>
    <row r="77" spans="1:5" ht="16.05" customHeight="1" x14ac:dyDescent="0.3">
      <c r="A77" s="16"/>
      <c r="B77" s="16"/>
      <c r="C77" s="17"/>
      <c r="D77" s="17"/>
      <c r="E77" s="16"/>
    </row>
    <row r="78" spans="1:5" ht="16.05" customHeight="1" x14ac:dyDescent="0.3">
      <c r="A78" s="16"/>
      <c r="B78" s="16"/>
      <c r="C78" s="17"/>
      <c r="D78" s="17"/>
      <c r="E78" s="16"/>
    </row>
    <row r="79" spans="1:5" ht="16.05" customHeight="1" x14ac:dyDescent="0.3">
      <c r="A79" s="16"/>
      <c r="B79" s="16"/>
      <c r="C79" s="17"/>
      <c r="D79" s="17"/>
      <c r="E79" s="16"/>
    </row>
    <row r="80" spans="1:5" ht="16.05" customHeight="1" x14ac:dyDescent="0.3">
      <c r="A80" s="16"/>
      <c r="B80" s="16"/>
      <c r="C80" s="17"/>
      <c r="D80" s="17"/>
      <c r="E80" s="16"/>
    </row>
    <row r="81" spans="1:5" ht="16.05" customHeight="1" x14ac:dyDescent="0.3">
      <c r="A81" s="16"/>
      <c r="B81" s="16"/>
      <c r="C81" s="17"/>
      <c r="D81" s="17"/>
      <c r="E81" s="16"/>
    </row>
    <row r="82" spans="1:5" ht="16.05" customHeight="1" x14ac:dyDescent="0.3">
      <c r="A82" s="16"/>
      <c r="B82" s="16"/>
      <c r="C82" s="17"/>
      <c r="D82" s="17"/>
      <c r="E82" s="16"/>
    </row>
    <row r="83" spans="1:5" ht="16.05" customHeight="1" x14ac:dyDescent="0.3">
      <c r="A83" s="16"/>
      <c r="B83" s="16"/>
      <c r="C83" s="17"/>
      <c r="D83" s="17"/>
      <c r="E83" s="16"/>
    </row>
    <row r="84" spans="1:5" ht="16.05" customHeight="1" x14ac:dyDescent="0.3">
      <c r="A84" s="16"/>
      <c r="B84" s="16"/>
      <c r="C84" s="17"/>
      <c r="D84" s="17"/>
      <c r="E84" s="16"/>
    </row>
    <row r="85" spans="1:5" ht="16.05" customHeight="1" x14ac:dyDescent="0.3">
      <c r="A85" s="16"/>
      <c r="B85" s="16"/>
      <c r="C85" s="17"/>
      <c r="D85" s="17"/>
      <c r="E85" s="16"/>
    </row>
    <row r="86" spans="1:5" ht="16.05" customHeight="1" x14ac:dyDescent="0.3">
      <c r="A86" s="16"/>
      <c r="B86" s="16"/>
      <c r="C86" s="17"/>
      <c r="D86" s="17"/>
      <c r="E86" s="16"/>
    </row>
    <row r="87" spans="1:5" ht="16.05" customHeight="1" x14ac:dyDescent="0.3">
      <c r="A87" s="16"/>
      <c r="B87" s="16"/>
      <c r="C87" s="17"/>
      <c r="D87" s="17"/>
      <c r="E87" s="16"/>
    </row>
    <row r="88" spans="1:5" ht="16.05" customHeight="1" x14ac:dyDescent="0.3">
      <c r="A88" s="16"/>
      <c r="B88" s="16"/>
      <c r="C88" s="17"/>
      <c r="D88" s="17"/>
      <c r="E88" s="16"/>
    </row>
    <row r="89" spans="1:5" ht="16.05" customHeight="1" x14ac:dyDescent="0.3">
      <c r="A89" s="16"/>
      <c r="B89" s="16"/>
      <c r="C89" s="17"/>
      <c r="D89" s="17"/>
      <c r="E89" s="16"/>
    </row>
    <row r="90" spans="1:5" ht="16.05" customHeight="1" x14ac:dyDescent="0.3">
      <c r="A90" s="16"/>
      <c r="B90" s="16"/>
      <c r="C90" s="17"/>
      <c r="D90" s="17"/>
      <c r="E90" s="16"/>
    </row>
    <row r="91" spans="1:5" ht="16.05" customHeight="1" x14ac:dyDescent="0.3">
      <c r="A91" s="16"/>
      <c r="B91" s="16"/>
      <c r="C91" s="17"/>
      <c r="D91" s="17"/>
      <c r="E91" s="16"/>
    </row>
    <row r="92" spans="1:5" ht="16.05" customHeight="1" x14ac:dyDescent="0.3">
      <c r="A92" s="16"/>
      <c r="B92" s="16"/>
      <c r="C92" s="17"/>
      <c r="D92" s="17"/>
      <c r="E92" s="16"/>
    </row>
    <row r="93" spans="1:5" ht="16.05" customHeight="1" x14ac:dyDescent="0.3">
      <c r="A93" s="16"/>
      <c r="B93" s="16"/>
      <c r="C93" s="17"/>
      <c r="D93" s="17"/>
      <c r="E93" s="16"/>
    </row>
    <row r="94" spans="1:5" ht="16.05" customHeight="1" x14ac:dyDescent="0.3">
      <c r="A94" s="16"/>
      <c r="B94" s="16"/>
      <c r="C94" s="17"/>
      <c r="D94" s="17"/>
      <c r="E94" s="16"/>
    </row>
    <row r="95" spans="1:5" ht="16.05" customHeight="1" x14ac:dyDescent="0.3">
      <c r="A95" s="16"/>
      <c r="B95" s="16"/>
      <c r="C95" s="17"/>
      <c r="D95" s="17"/>
      <c r="E95" s="16"/>
    </row>
    <row r="96" spans="1:5" ht="16.05" customHeight="1" x14ac:dyDescent="0.3">
      <c r="A96" s="16"/>
      <c r="B96" s="16"/>
      <c r="C96" s="17"/>
      <c r="D96" s="17"/>
      <c r="E96" s="16"/>
    </row>
    <row r="97" spans="1:5" ht="16.05" customHeight="1" x14ac:dyDescent="0.3">
      <c r="A97" s="16"/>
      <c r="B97" s="16"/>
      <c r="C97" s="17"/>
      <c r="D97" s="17"/>
      <c r="E97" s="16"/>
    </row>
    <row r="98" spans="1:5" ht="16.05" customHeight="1" x14ac:dyDescent="0.3">
      <c r="A98" s="16"/>
      <c r="B98" s="16"/>
      <c r="C98" s="17"/>
      <c r="D98" s="17"/>
      <c r="E98" s="16"/>
    </row>
    <row r="99" spans="1:5" ht="16.05" customHeight="1" x14ac:dyDescent="0.3">
      <c r="A99" s="16"/>
      <c r="B99" s="16"/>
      <c r="C99" s="17"/>
      <c r="D99" s="17"/>
      <c r="E99" s="16"/>
    </row>
    <row r="100" spans="1:5" ht="16.05" customHeight="1" x14ac:dyDescent="0.3">
      <c r="A100" s="16"/>
      <c r="B100" s="16"/>
      <c r="C100" s="17"/>
      <c r="D100" s="17"/>
      <c r="E100" s="16"/>
    </row>
    <row r="101" spans="1:5" ht="16.05" customHeight="1" x14ac:dyDescent="0.3">
      <c r="A101" s="16"/>
      <c r="B101" s="16"/>
      <c r="C101" s="17"/>
      <c r="D101" s="17"/>
      <c r="E101" s="16"/>
    </row>
    <row r="102" spans="1:5" ht="16.05" customHeight="1" x14ac:dyDescent="0.3">
      <c r="A102" s="16"/>
      <c r="B102" s="16"/>
      <c r="C102" s="17"/>
      <c r="D102" s="17"/>
      <c r="E102" s="16"/>
    </row>
    <row r="103" spans="1:5" ht="16.05" customHeight="1" x14ac:dyDescent="0.3">
      <c r="A103" s="16"/>
      <c r="B103" s="16"/>
      <c r="C103" s="17"/>
      <c r="D103" s="17"/>
      <c r="E103" s="16"/>
    </row>
    <row r="104" spans="1:5" ht="16.05" customHeight="1" x14ac:dyDescent="0.3">
      <c r="A104" s="16"/>
      <c r="B104" s="16"/>
      <c r="C104" s="17"/>
      <c r="D104" s="17"/>
      <c r="E104" s="16"/>
    </row>
    <row r="105" spans="1:5" ht="16.05" customHeight="1" x14ac:dyDescent="0.3">
      <c r="A105" s="16"/>
      <c r="B105" s="16"/>
      <c r="C105" s="17"/>
      <c r="D105" s="17"/>
      <c r="E105" s="16"/>
    </row>
    <row r="106" spans="1:5" ht="16.05" customHeight="1" x14ac:dyDescent="0.3">
      <c r="A106" s="16"/>
      <c r="B106" s="16"/>
      <c r="C106" s="17"/>
      <c r="D106" s="17"/>
      <c r="E106" s="16"/>
    </row>
    <row r="107" spans="1:5" ht="16.05" customHeight="1" x14ac:dyDescent="0.3">
      <c r="A107" s="16"/>
      <c r="B107" s="16"/>
      <c r="C107" s="17"/>
      <c r="D107" s="17"/>
      <c r="E107" s="16"/>
    </row>
    <row r="108" spans="1:5" ht="16.05" customHeight="1" x14ac:dyDescent="0.3">
      <c r="A108" s="16"/>
      <c r="B108" s="16"/>
      <c r="C108" s="17"/>
      <c r="D108" s="17"/>
      <c r="E108" s="16"/>
    </row>
    <row r="109" spans="1:5" ht="16.05" customHeight="1" x14ac:dyDescent="0.3">
      <c r="A109" s="16"/>
      <c r="B109" s="16"/>
      <c r="C109" s="17"/>
      <c r="D109" s="17"/>
      <c r="E109" s="16"/>
    </row>
    <row r="110" spans="1:5" ht="16.05" customHeight="1" x14ac:dyDescent="0.3">
      <c r="A110" s="16"/>
      <c r="B110" s="16"/>
      <c r="C110" s="17"/>
      <c r="D110" s="17"/>
      <c r="E110" s="16"/>
    </row>
    <row r="111" spans="1:5" ht="16.05" customHeight="1" x14ac:dyDescent="0.3">
      <c r="A111" s="16"/>
      <c r="B111" s="16"/>
      <c r="C111" s="17"/>
      <c r="D111" s="17"/>
      <c r="E111" s="16"/>
    </row>
    <row r="112" spans="1:5" ht="16.05" customHeight="1" x14ac:dyDescent="0.3">
      <c r="A112" s="16"/>
      <c r="B112" s="16"/>
      <c r="C112" s="17"/>
      <c r="D112" s="17"/>
      <c r="E112" s="16"/>
    </row>
    <row r="113" spans="1:5" ht="16.05" customHeight="1" x14ac:dyDescent="0.3">
      <c r="A113" s="16"/>
      <c r="B113" s="16"/>
      <c r="C113" s="17"/>
      <c r="D113" s="17"/>
      <c r="E113" s="16"/>
    </row>
    <row r="114" spans="1:5" ht="16.05" customHeight="1" x14ac:dyDescent="0.3">
      <c r="A114" s="16"/>
      <c r="B114" s="16"/>
      <c r="C114" s="17"/>
      <c r="D114" s="17"/>
      <c r="E114" s="16"/>
    </row>
    <row r="115" spans="1:5" ht="16.05" customHeight="1" x14ac:dyDescent="0.3">
      <c r="A115" s="16"/>
      <c r="B115" s="16"/>
      <c r="C115" s="17"/>
      <c r="D115" s="17"/>
      <c r="E115" s="16"/>
    </row>
    <row r="116" spans="1:5" ht="16.05" customHeight="1" x14ac:dyDescent="0.3">
      <c r="A116" s="16"/>
      <c r="B116" s="16"/>
      <c r="C116" s="17"/>
      <c r="D116" s="17"/>
      <c r="E116" s="16"/>
    </row>
    <row r="117" spans="1:5" ht="16.05" customHeight="1" x14ac:dyDescent="0.3">
      <c r="A117" s="16"/>
      <c r="B117" s="16"/>
      <c r="C117" s="17"/>
      <c r="D117" s="17"/>
      <c r="E117" s="16"/>
    </row>
    <row r="118" spans="1:5" ht="16.05" customHeight="1" x14ac:dyDescent="0.3">
      <c r="A118" s="16"/>
      <c r="B118" s="16"/>
      <c r="C118" s="17"/>
      <c r="D118" s="17"/>
      <c r="E118" s="16"/>
    </row>
    <row r="119" spans="1:5" ht="16.05" customHeight="1" x14ac:dyDescent="0.3">
      <c r="A119" s="16"/>
      <c r="B119" s="16"/>
      <c r="C119" s="17"/>
      <c r="D119" s="17"/>
      <c r="E119" s="16"/>
    </row>
    <row r="120" spans="1:5" ht="16.05" customHeight="1" x14ac:dyDescent="0.3">
      <c r="A120" s="16"/>
      <c r="B120" s="16"/>
      <c r="C120" s="17"/>
      <c r="D120" s="17"/>
      <c r="E120" s="16"/>
    </row>
    <row r="121" spans="1:5" ht="16.05" customHeight="1" x14ac:dyDescent="0.3">
      <c r="A121" s="16"/>
      <c r="B121" s="16"/>
      <c r="C121" s="17"/>
      <c r="D121" s="17"/>
      <c r="E121" s="16"/>
    </row>
    <row r="122" spans="1:5" ht="16.05" customHeight="1" x14ac:dyDescent="0.3">
      <c r="A122" s="16"/>
      <c r="B122" s="16"/>
      <c r="C122" s="17"/>
      <c r="D122" s="17"/>
      <c r="E122" s="16"/>
    </row>
    <row r="123" spans="1:5" ht="16.05" customHeight="1" x14ac:dyDescent="0.3">
      <c r="A123" s="16"/>
      <c r="B123" s="16"/>
      <c r="C123" s="17"/>
      <c r="D123" s="17"/>
      <c r="E123" s="16"/>
    </row>
    <row r="124" spans="1:5" ht="16.05" customHeight="1" x14ac:dyDescent="0.3">
      <c r="A124" s="16"/>
      <c r="B124" s="16"/>
      <c r="C124" s="17"/>
      <c r="D124" s="17"/>
      <c r="E124" s="16"/>
    </row>
    <row r="125" spans="1:5" ht="16.05" customHeight="1" x14ac:dyDescent="0.3">
      <c r="A125" s="16"/>
      <c r="B125" s="16"/>
      <c r="C125" s="17"/>
      <c r="D125" s="17"/>
      <c r="E125" s="16"/>
    </row>
    <row r="126" spans="1:5" ht="16.05" customHeight="1" x14ac:dyDescent="0.3">
      <c r="A126" s="16"/>
      <c r="B126" s="16"/>
      <c r="C126" s="17"/>
      <c r="D126" s="17"/>
      <c r="E126" s="16"/>
    </row>
    <row r="127" spans="1:5" ht="16.05" customHeight="1" x14ac:dyDescent="0.3">
      <c r="A127" s="16"/>
      <c r="B127" s="16"/>
      <c r="C127" s="17"/>
      <c r="D127" s="17"/>
      <c r="E127" s="16"/>
    </row>
    <row r="128" spans="1:5" ht="16.05" customHeight="1" x14ac:dyDescent="0.3">
      <c r="A128" s="16"/>
      <c r="B128" s="16"/>
      <c r="C128" s="17"/>
      <c r="D128" s="17"/>
      <c r="E128" s="16"/>
    </row>
    <row r="129" spans="1:5" ht="16.05" customHeight="1" x14ac:dyDescent="0.3">
      <c r="A129" s="16"/>
      <c r="B129" s="16"/>
      <c r="C129" s="17"/>
      <c r="D129" s="17"/>
      <c r="E129" s="16"/>
    </row>
    <row r="130" spans="1:5" ht="16.05" customHeight="1" x14ac:dyDescent="0.3">
      <c r="A130" s="16"/>
      <c r="B130" s="16"/>
      <c r="C130" s="17"/>
      <c r="D130" s="17"/>
      <c r="E130" s="16"/>
    </row>
    <row r="131" spans="1:5" ht="16.05" customHeight="1" x14ac:dyDescent="0.3">
      <c r="A131" s="16"/>
      <c r="B131" s="16"/>
      <c r="C131" s="17"/>
      <c r="D131" s="17"/>
      <c r="E131" s="16"/>
    </row>
    <row r="132" spans="1:5" ht="16.05" customHeight="1" x14ac:dyDescent="0.3">
      <c r="A132" s="16"/>
      <c r="B132" s="16"/>
      <c r="C132" s="17"/>
      <c r="D132" s="17"/>
      <c r="E132" s="16"/>
    </row>
    <row r="133" spans="1:5" ht="16.05" customHeight="1" x14ac:dyDescent="0.3">
      <c r="A133" s="16"/>
      <c r="B133" s="16"/>
      <c r="C133" s="17"/>
      <c r="D133" s="17"/>
      <c r="E133" s="16"/>
    </row>
    <row r="134" spans="1:5" ht="16.05" customHeight="1" x14ac:dyDescent="0.3">
      <c r="A134" s="16"/>
      <c r="B134" s="16"/>
      <c r="C134" s="17"/>
      <c r="D134" s="17"/>
      <c r="E134" s="16"/>
    </row>
    <row r="135" spans="1:5" ht="16.05" customHeight="1" x14ac:dyDescent="0.3">
      <c r="A135" s="16"/>
      <c r="B135" s="16"/>
      <c r="C135" s="17"/>
      <c r="D135" s="17"/>
      <c r="E135" s="16"/>
    </row>
    <row r="136" spans="1:5" ht="16.05" customHeight="1" x14ac:dyDescent="0.3">
      <c r="A136" s="16"/>
      <c r="B136" s="16"/>
      <c r="C136" s="17"/>
      <c r="D136" s="17"/>
      <c r="E136" s="16"/>
    </row>
    <row r="137" spans="1:5" ht="16.05" customHeight="1" x14ac:dyDescent="0.3">
      <c r="A137" s="16"/>
      <c r="B137" s="16"/>
      <c r="C137" s="17"/>
      <c r="D137" s="17"/>
      <c r="E137" s="16"/>
    </row>
    <row r="138" spans="1:5" ht="16.05" customHeight="1" x14ac:dyDescent="0.3">
      <c r="A138" s="16"/>
      <c r="B138" s="16"/>
      <c r="C138" s="17"/>
      <c r="D138" s="17"/>
      <c r="E138" s="16"/>
    </row>
    <row r="139" spans="1:5" ht="16.05" customHeight="1" x14ac:dyDescent="0.3">
      <c r="A139" s="16"/>
      <c r="B139" s="16"/>
      <c r="C139" s="17"/>
      <c r="D139" s="17"/>
      <c r="E139" s="16"/>
    </row>
    <row r="140" spans="1:5" ht="16.05" customHeight="1" x14ac:dyDescent="0.3">
      <c r="A140" s="16"/>
      <c r="B140" s="16"/>
      <c r="C140" s="17"/>
      <c r="D140" s="17"/>
      <c r="E140" s="16"/>
    </row>
    <row r="141" spans="1:5" ht="16.05" customHeight="1" x14ac:dyDescent="0.3">
      <c r="A141" s="16"/>
      <c r="B141" s="16"/>
      <c r="C141" s="17"/>
      <c r="D141" s="17"/>
      <c r="E141" s="16"/>
    </row>
    <row r="142" spans="1:5" ht="16.05" customHeight="1" x14ac:dyDescent="0.3">
      <c r="A142" s="16"/>
      <c r="B142" s="16"/>
      <c r="C142" s="17"/>
      <c r="D142" s="17"/>
      <c r="E142" s="16"/>
    </row>
    <row r="143" spans="1:5" ht="16.05" customHeight="1" x14ac:dyDescent="0.3">
      <c r="A143" s="16"/>
      <c r="B143" s="16"/>
      <c r="C143" s="17"/>
      <c r="D143" s="17"/>
      <c r="E143" s="16"/>
    </row>
    <row r="144" spans="1:5" ht="16.05" customHeight="1" x14ac:dyDescent="0.3">
      <c r="A144" s="16"/>
      <c r="B144" s="16"/>
      <c r="C144" s="17"/>
      <c r="D144" s="17"/>
      <c r="E144" s="16"/>
    </row>
    <row r="145" spans="1:5" ht="16.05" customHeight="1" x14ac:dyDescent="0.3">
      <c r="A145" s="16"/>
      <c r="B145" s="16"/>
      <c r="C145" s="17"/>
      <c r="D145" s="17"/>
      <c r="E145" s="16"/>
    </row>
    <row r="146" spans="1:5" ht="16.05" customHeight="1" x14ac:dyDescent="0.3">
      <c r="A146" s="16"/>
      <c r="B146" s="16"/>
      <c r="C146" s="17"/>
      <c r="D146" s="17"/>
      <c r="E146" s="16"/>
    </row>
    <row r="147" spans="1:5" ht="16.05" customHeight="1" x14ac:dyDescent="0.3">
      <c r="A147" s="16"/>
      <c r="B147" s="16"/>
      <c r="C147" s="17"/>
      <c r="D147" s="17"/>
      <c r="E147" s="16"/>
    </row>
    <row r="148" spans="1:5" ht="16.05" customHeight="1" x14ac:dyDescent="0.3">
      <c r="A148" s="16"/>
      <c r="B148" s="16"/>
      <c r="C148" s="17"/>
      <c r="D148" s="17"/>
      <c r="E148" s="16"/>
    </row>
    <row r="149" spans="1:5" ht="16.05" customHeight="1" x14ac:dyDescent="0.3">
      <c r="A149" s="16"/>
      <c r="B149" s="16"/>
      <c r="C149" s="17"/>
      <c r="D149" s="17"/>
      <c r="E149" s="16"/>
    </row>
    <row r="150" spans="1:5" ht="16.05" customHeight="1" x14ac:dyDescent="0.3">
      <c r="A150" s="16"/>
      <c r="B150" s="16"/>
      <c r="C150" s="17"/>
      <c r="D150" s="17"/>
      <c r="E150" s="16"/>
    </row>
    <row r="151" spans="1:5" ht="16.05" customHeight="1" x14ac:dyDescent="0.3">
      <c r="A151" s="16"/>
      <c r="B151" s="16"/>
      <c r="C151" s="17"/>
      <c r="D151" s="17"/>
      <c r="E151" s="16"/>
    </row>
    <row r="152" spans="1:5" ht="16.05" customHeight="1" x14ac:dyDescent="0.3">
      <c r="A152" s="16"/>
      <c r="B152" s="16"/>
      <c r="C152" s="17"/>
      <c r="D152" s="17"/>
      <c r="E152" s="16"/>
    </row>
    <row r="153" spans="1:5" ht="16.05" customHeight="1" x14ac:dyDescent="0.3">
      <c r="A153" s="16"/>
      <c r="B153" s="16"/>
      <c r="C153" s="17"/>
      <c r="D153" s="17"/>
      <c r="E153" s="16"/>
    </row>
    <row r="154" spans="1:5" ht="16.05" customHeight="1" x14ac:dyDescent="0.3">
      <c r="A154" s="16"/>
      <c r="B154" s="16"/>
      <c r="C154" s="17"/>
      <c r="D154" s="17"/>
      <c r="E154" s="16"/>
    </row>
    <row r="155" spans="1:5" ht="16.05" customHeight="1" x14ac:dyDescent="0.3">
      <c r="A155" s="16"/>
      <c r="B155" s="16"/>
      <c r="C155" s="17"/>
      <c r="D155" s="17"/>
      <c r="E155" s="16"/>
    </row>
    <row r="156" spans="1:5" ht="16.05" customHeight="1" x14ac:dyDescent="0.3">
      <c r="A156" s="16"/>
      <c r="B156" s="16"/>
      <c r="C156" s="17"/>
      <c r="D156" s="17"/>
      <c r="E156" s="16"/>
    </row>
    <row r="157" spans="1:5" ht="16.05" customHeight="1" x14ac:dyDescent="0.3">
      <c r="A157" s="16"/>
      <c r="B157" s="16"/>
      <c r="C157" s="17"/>
      <c r="D157" s="17"/>
      <c r="E157" s="16"/>
    </row>
    <row r="158" spans="1:5" ht="16.05" customHeight="1" x14ac:dyDescent="0.3">
      <c r="A158" s="16"/>
      <c r="B158" s="16"/>
      <c r="C158" s="17"/>
      <c r="D158" s="17"/>
      <c r="E158" s="16"/>
    </row>
    <row r="159" spans="1:5" ht="16.05" customHeight="1" x14ac:dyDescent="0.3">
      <c r="A159" s="16"/>
      <c r="B159" s="16"/>
      <c r="C159" s="17"/>
      <c r="D159" s="17"/>
      <c r="E159" s="16"/>
    </row>
    <row r="160" spans="1:5" ht="16.05" customHeight="1" x14ac:dyDescent="0.3">
      <c r="A160" s="16"/>
      <c r="B160" s="16"/>
      <c r="C160" s="17"/>
      <c r="D160" s="17"/>
      <c r="E160" s="16"/>
    </row>
    <row r="161" spans="1:5" ht="16.05" customHeight="1" x14ac:dyDescent="0.3">
      <c r="A161" s="16"/>
      <c r="B161" s="16"/>
      <c r="C161" s="17"/>
      <c r="D161" s="17"/>
      <c r="E161" s="16"/>
    </row>
    <row r="162" spans="1:5" ht="16.05" customHeight="1" x14ac:dyDescent="0.3">
      <c r="A162" s="16"/>
      <c r="B162" s="16"/>
      <c r="C162" s="17"/>
      <c r="D162" s="17"/>
      <c r="E162" s="16"/>
    </row>
    <row r="163" spans="1:5" ht="16.05" customHeight="1" x14ac:dyDescent="0.3">
      <c r="A163" s="16"/>
      <c r="B163" s="16"/>
      <c r="C163" s="17"/>
      <c r="D163" s="17"/>
      <c r="E163" s="16"/>
    </row>
    <row r="164" spans="1:5" ht="16.05" customHeight="1" x14ac:dyDescent="0.3">
      <c r="A164" s="16"/>
      <c r="B164" s="16"/>
      <c r="C164" s="17"/>
      <c r="D164" s="17"/>
      <c r="E164" s="16"/>
    </row>
    <row r="165" spans="1:5" ht="16.05" customHeight="1" x14ac:dyDescent="0.3">
      <c r="A165" s="16"/>
      <c r="B165" s="16"/>
      <c r="C165" s="17"/>
      <c r="D165" s="17"/>
      <c r="E165" s="16"/>
    </row>
    <row r="166" spans="1:5" ht="16.05" customHeight="1" x14ac:dyDescent="0.3">
      <c r="A166" s="16"/>
      <c r="B166" s="16"/>
      <c r="C166" s="17"/>
      <c r="D166" s="17"/>
      <c r="E166" s="16"/>
    </row>
    <row r="167" spans="1:5" ht="16.05" customHeight="1" x14ac:dyDescent="0.3">
      <c r="A167" s="16"/>
      <c r="B167" s="16"/>
      <c r="C167" s="17"/>
      <c r="D167" s="17"/>
      <c r="E167" s="16"/>
    </row>
    <row r="168" spans="1:5" ht="16.05" customHeight="1" x14ac:dyDescent="0.3">
      <c r="A168" s="16"/>
      <c r="B168" s="16"/>
      <c r="C168" s="17"/>
      <c r="D168" s="17"/>
      <c r="E168" s="16"/>
    </row>
    <row r="169" spans="1:5" ht="16.05" customHeight="1" x14ac:dyDescent="0.3">
      <c r="A169" s="16"/>
      <c r="B169" s="16"/>
      <c r="C169" s="17"/>
      <c r="D169" s="17"/>
      <c r="E169" s="16"/>
    </row>
    <row r="170" spans="1:5" ht="16.05" customHeight="1" x14ac:dyDescent="0.3">
      <c r="A170" s="16"/>
      <c r="B170" s="16"/>
      <c r="C170" s="17"/>
      <c r="D170" s="17"/>
      <c r="E170" s="16"/>
    </row>
    <row r="171" spans="1:5" ht="16.05" customHeight="1" x14ac:dyDescent="0.3">
      <c r="A171" s="16"/>
      <c r="B171" s="16"/>
      <c r="C171" s="17"/>
      <c r="D171" s="17"/>
      <c r="E171" s="16"/>
    </row>
    <row r="172" spans="1:5" ht="16.05" customHeight="1" x14ac:dyDescent="0.3">
      <c r="A172" s="16"/>
      <c r="B172" s="16"/>
      <c r="C172" s="17"/>
      <c r="D172" s="17"/>
      <c r="E172" s="16"/>
    </row>
    <row r="173" spans="1:5" ht="16.05" customHeight="1" x14ac:dyDescent="0.3">
      <c r="A173" s="16"/>
      <c r="B173" s="16"/>
      <c r="C173" s="17"/>
      <c r="D173" s="17"/>
      <c r="E173" s="16"/>
    </row>
    <row r="174" spans="1:5" ht="16.05" customHeight="1" x14ac:dyDescent="0.3">
      <c r="A174" s="16"/>
      <c r="B174" s="16"/>
      <c r="C174" s="17"/>
      <c r="D174" s="17"/>
      <c r="E174" s="16"/>
    </row>
    <row r="175" spans="1:5" ht="16.05" customHeight="1" x14ac:dyDescent="0.3">
      <c r="A175" s="16"/>
      <c r="B175" s="16"/>
      <c r="C175" s="17"/>
      <c r="D175" s="17"/>
      <c r="E175" s="16"/>
    </row>
    <row r="176" spans="1:5" ht="16.05" customHeight="1" x14ac:dyDescent="0.3">
      <c r="A176" s="16"/>
      <c r="B176" s="16"/>
      <c r="C176" s="17"/>
      <c r="D176" s="17"/>
      <c r="E176" s="16"/>
    </row>
    <row r="177" spans="1:5" ht="16.05" customHeight="1" x14ac:dyDescent="0.3">
      <c r="A177" s="16"/>
      <c r="B177" s="16"/>
      <c r="C177" s="17"/>
      <c r="D177" s="17"/>
      <c r="E177" s="16"/>
    </row>
    <row r="178" spans="1:5" ht="16.05" customHeight="1" x14ac:dyDescent="0.3">
      <c r="A178" s="16"/>
      <c r="B178" s="16"/>
      <c r="C178" s="17"/>
      <c r="D178" s="17"/>
      <c r="E178" s="16"/>
    </row>
    <row r="179" spans="1:5" ht="16.05" customHeight="1" x14ac:dyDescent="0.3">
      <c r="A179" s="16"/>
      <c r="B179" s="16"/>
      <c r="C179" s="17"/>
      <c r="D179" s="17"/>
      <c r="E179" s="16"/>
    </row>
    <row r="180" spans="1:5" ht="16.05" customHeight="1" x14ac:dyDescent="0.3">
      <c r="A180" s="16"/>
      <c r="B180" s="16"/>
      <c r="C180" s="17"/>
      <c r="D180" s="17"/>
      <c r="E180" s="16"/>
    </row>
    <row r="181" spans="1:5" ht="16.05" customHeight="1" x14ac:dyDescent="0.3">
      <c r="A181" s="16"/>
      <c r="B181" s="16"/>
      <c r="C181" s="17"/>
      <c r="D181" s="17"/>
      <c r="E181" s="16"/>
    </row>
    <row r="182" spans="1:5" ht="16.05" customHeight="1" x14ac:dyDescent="0.3">
      <c r="A182" s="16"/>
      <c r="B182" s="16"/>
      <c r="C182" s="17"/>
      <c r="D182" s="17"/>
      <c r="E182" s="16"/>
    </row>
    <row r="183" spans="1:5" ht="16.05" customHeight="1" x14ac:dyDescent="0.3">
      <c r="A183" s="16"/>
      <c r="B183" s="16"/>
      <c r="C183" s="17"/>
      <c r="D183" s="17"/>
      <c r="E183" s="16"/>
    </row>
    <row r="184" spans="1:5" ht="16.05" customHeight="1" x14ac:dyDescent="0.3">
      <c r="A184" s="16"/>
      <c r="B184" s="16"/>
      <c r="C184" s="17"/>
      <c r="D184" s="17"/>
      <c r="E184" s="16"/>
    </row>
    <row r="185" spans="1:5" ht="16.05" customHeight="1" x14ac:dyDescent="0.3">
      <c r="A185" s="16"/>
      <c r="B185" s="16"/>
      <c r="C185" s="17"/>
      <c r="D185" s="17"/>
      <c r="E185" s="16"/>
    </row>
    <row r="186" spans="1:5" ht="16.05" customHeight="1" x14ac:dyDescent="0.3">
      <c r="A186" s="16"/>
      <c r="B186" s="16"/>
      <c r="C186" s="17"/>
      <c r="D186" s="17"/>
      <c r="E186" s="16"/>
    </row>
    <row r="187" spans="1:5" ht="16.05" customHeight="1" x14ac:dyDescent="0.3">
      <c r="A187" s="16"/>
      <c r="B187" s="16"/>
      <c r="C187" s="17"/>
      <c r="D187" s="17"/>
      <c r="E187" s="16"/>
    </row>
    <row r="188" spans="1:5" ht="16.05" customHeight="1" x14ac:dyDescent="0.3">
      <c r="A188" s="16"/>
      <c r="B188" s="16"/>
      <c r="C188" s="17"/>
      <c r="D188" s="17"/>
      <c r="E188" s="16"/>
    </row>
    <row r="189" spans="1:5" ht="16.05" customHeight="1" x14ac:dyDescent="0.3">
      <c r="A189" s="16"/>
      <c r="B189" s="16"/>
      <c r="C189" s="17"/>
      <c r="D189" s="17"/>
      <c r="E189" s="16"/>
    </row>
    <row r="190" spans="1:5" ht="16.05" customHeight="1" x14ac:dyDescent="0.3">
      <c r="A190" s="16"/>
      <c r="B190" s="16"/>
      <c r="C190" s="17"/>
      <c r="D190" s="17"/>
      <c r="E190" s="16"/>
    </row>
    <row r="191" spans="1:5" ht="16.05" customHeight="1" x14ac:dyDescent="0.3">
      <c r="A191" s="16"/>
      <c r="B191" s="16"/>
      <c r="C191" s="17"/>
      <c r="D191" s="17"/>
      <c r="E191" s="16"/>
    </row>
    <row r="192" spans="1:5" ht="16.05" customHeight="1" x14ac:dyDescent="0.3">
      <c r="A192" s="16"/>
      <c r="B192" s="16"/>
      <c r="C192" s="17"/>
      <c r="D192" s="17"/>
      <c r="E192" s="16"/>
    </row>
    <row r="193" spans="1:5" ht="16.05" customHeight="1" x14ac:dyDescent="0.3">
      <c r="A193" s="16"/>
      <c r="B193" s="16"/>
      <c r="C193" s="17"/>
      <c r="D193" s="17"/>
      <c r="E193" s="16"/>
    </row>
    <row r="194" spans="1:5" ht="16.05" customHeight="1" x14ac:dyDescent="0.3">
      <c r="A194" s="16"/>
      <c r="B194" s="16"/>
      <c r="C194" s="17"/>
      <c r="D194" s="17"/>
      <c r="E194" s="16"/>
    </row>
    <row r="195" spans="1:5" ht="16.05" customHeight="1" x14ac:dyDescent="0.3">
      <c r="A195" s="16"/>
      <c r="B195" s="16"/>
      <c r="C195" s="17"/>
      <c r="D195" s="17"/>
      <c r="E195" s="16"/>
    </row>
    <row r="196" spans="1:5" ht="16.05" customHeight="1" x14ac:dyDescent="0.3">
      <c r="A196" s="16"/>
      <c r="B196" s="16"/>
      <c r="C196" s="17"/>
      <c r="D196" s="17"/>
      <c r="E196" s="16"/>
    </row>
    <row r="197" spans="1:5" ht="16.05" customHeight="1" x14ac:dyDescent="0.3">
      <c r="A197" s="16"/>
      <c r="B197" s="16"/>
      <c r="C197" s="17"/>
      <c r="D197" s="17"/>
      <c r="E197" s="16"/>
    </row>
    <row r="198" spans="1:5" ht="16.05" customHeight="1" x14ac:dyDescent="0.3">
      <c r="A198" s="16"/>
      <c r="B198" s="16"/>
      <c r="C198" s="17"/>
      <c r="D198" s="17"/>
      <c r="E198" s="16"/>
    </row>
    <row r="199" spans="1:5" ht="16.05" customHeight="1" x14ac:dyDescent="0.3">
      <c r="A199" s="16"/>
      <c r="B199" s="16"/>
      <c r="C199" s="17"/>
      <c r="D199" s="17"/>
      <c r="E199" s="16"/>
    </row>
    <row r="200" spans="1:5" ht="16.05" customHeight="1" x14ac:dyDescent="0.3">
      <c r="A200" s="16"/>
      <c r="B200" s="16"/>
      <c r="C200" s="17"/>
      <c r="D200" s="17"/>
      <c r="E200" s="16"/>
    </row>
    <row r="201" spans="1:5" ht="16.05" customHeight="1" x14ac:dyDescent="0.3">
      <c r="A201" s="16"/>
      <c r="B201" s="16"/>
      <c r="C201" s="17"/>
      <c r="D201" s="17"/>
      <c r="E201" s="16"/>
    </row>
    <row r="202" spans="1:5" ht="16.05" customHeight="1" x14ac:dyDescent="0.3">
      <c r="A202" s="16"/>
      <c r="B202" s="16"/>
      <c r="C202" s="17"/>
      <c r="D202" s="17"/>
      <c r="E202" s="16"/>
    </row>
    <row r="203" spans="1:5" ht="16.05" customHeight="1" x14ac:dyDescent="0.3">
      <c r="A203" s="16"/>
      <c r="B203" s="16"/>
      <c r="C203" s="17"/>
      <c r="D203" s="17"/>
      <c r="E203" s="16"/>
    </row>
    <row r="204" spans="1:5" ht="16.05" customHeight="1" x14ac:dyDescent="0.3">
      <c r="A204" s="16"/>
      <c r="B204" s="16"/>
      <c r="C204" s="17"/>
      <c r="D204" s="17"/>
      <c r="E204" s="16"/>
    </row>
    <row r="205" spans="1:5" ht="16.05" customHeight="1" x14ac:dyDescent="0.3">
      <c r="A205" s="16"/>
      <c r="B205" s="16"/>
      <c r="C205" s="17"/>
      <c r="D205" s="17"/>
      <c r="E205" s="16"/>
    </row>
    <row r="206" spans="1:5" ht="16.05" customHeight="1" x14ac:dyDescent="0.3">
      <c r="A206" s="16"/>
      <c r="B206" s="16"/>
      <c r="C206" s="17"/>
      <c r="D206" s="17"/>
      <c r="E206" s="16"/>
    </row>
    <row r="207" spans="1:5" ht="16.05" customHeight="1" x14ac:dyDescent="0.3">
      <c r="A207" s="16"/>
      <c r="B207" s="16"/>
      <c r="C207" s="17"/>
      <c r="D207" s="17"/>
      <c r="E207" s="16"/>
    </row>
    <row r="208" spans="1:5" ht="16.05" customHeight="1" x14ac:dyDescent="0.3">
      <c r="A208" s="16"/>
      <c r="B208" s="16"/>
      <c r="C208" s="17"/>
      <c r="D208" s="17"/>
      <c r="E208" s="16"/>
    </row>
    <row r="209" spans="1:5" ht="16.05" customHeight="1" x14ac:dyDescent="0.3">
      <c r="A209" s="16"/>
      <c r="B209" s="16"/>
      <c r="C209" s="17"/>
      <c r="D209" s="17"/>
      <c r="E209" s="16"/>
    </row>
    <row r="210" spans="1:5" ht="16.05" customHeight="1" x14ac:dyDescent="0.3">
      <c r="A210" s="16"/>
      <c r="B210" s="16"/>
      <c r="C210" s="17"/>
      <c r="D210" s="17"/>
      <c r="E210" s="16"/>
    </row>
    <row r="211" spans="1:5" ht="16.05" customHeight="1" x14ac:dyDescent="0.3">
      <c r="A211" s="16"/>
      <c r="B211" s="16"/>
      <c r="C211" s="17"/>
      <c r="D211" s="17"/>
      <c r="E211" s="16"/>
    </row>
    <row r="212" spans="1:5" ht="16.05" customHeight="1" x14ac:dyDescent="0.3">
      <c r="A212" s="16"/>
      <c r="B212" s="16"/>
      <c r="C212" s="17"/>
      <c r="D212" s="17"/>
      <c r="E212" s="16"/>
    </row>
    <row r="213" spans="1:5" ht="16.05" customHeight="1" x14ac:dyDescent="0.3">
      <c r="A213" s="16"/>
      <c r="B213" s="16"/>
      <c r="C213" s="17"/>
      <c r="D213" s="17"/>
      <c r="E213" s="16"/>
    </row>
    <row r="214" spans="1:5" ht="16.05" customHeight="1" x14ac:dyDescent="0.3">
      <c r="A214" s="16"/>
      <c r="B214" s="16"/>
      <c r="C214" s="17"/>
      <c r="D214" s="17"/>
      <c r="E214" s="16"/>
    </row>
    <row r="215" spans="1:5" ht="16.05" customHeight="1" x14ac:dyDescent="0.3">
      <c r="A215" s="16"/>
      <c r="B215" s="16"/>
      <c r="C215" s="17"/>
      <c r="D215" s="17"/>
      <c r="E215" s="16"/>
    </row>
    <row r="216" spans="1:5" ht="16.05" customHeight="1" x14ac:dyDescent="0.3">
      <c r="A216" s="16"/>
      <c r="B216" s="16"/>
      <c r="C216" s="17"/>
      <c r="D216" s="17"/>
      <c r="E216" s="16"/>
    </row>
    <row r="217" spans="1:5" ht="16.05" customHeight="1" x14ac:dyDescent="0.3">
      <c r="A217" s="16"/>
      <c r="B217" s="16"/>
      <c r="C217" s="17"/>
      <c r="D217" s="17"/>
      <c r="E217" s="16"/>
    </row>
    <row r="218" spans="1:5" ht="16.05" customHeight="1" x14ac:dyDescent="0.3">
      <c r="A218" s="16"/>
      <c r="B218" s="16"/>
      <c r="C218" s="17"/>
      <c r="D218" s="17"/>
      <c r="E218" s="16"/>
    </row>
    <row r="219" spans="1:5" ht="16.05" customHeight="1" x14ac:dyDescent="0.3">
      <c r="A219" s="16"/>
      <c r="B219" s="16"/>
      <c r="C219" s="17"/>
      <c r="D219" s="17"/>
      <c r="E219" s="16"/>
    </row>
    <row r="220" spans="1:5" ht="16.05" customHeight="1" x14ac:dyDescent="0.3">
      <c r="A220" s="16"/>
      <c r="B220" s="16"/>
      <c r="C220" s="17"/>
      <c r="D220" s="17"/>
      <c r="E220" s="16"/>
    </row>
    <row r="221" spans="1:5" ht="16.05" customHeight="1" x14ac:dyDescent="0.3">
      <c r="A221" s="16"/>
      <c r="B221" s="16"/>
      <c r="C221" s="17"/>
      <c r="D221" s="17"/>
      <c r="E221" s="16"/>
    </row>
    <row r="222" spans="1:5" ht="16.05" customHeight="1" x14ac:dyDescent="0.3">
      <c r="A222" s="16"/>
      <c r="B222" s="16"/>
      <c r="C222" s="17"/>
      <c r="D222" s="17"/>
      <c r="E222" s="16"/>
    </row>
    <row r="223" spans="1:5" ht="16.05" customHeight="1" x14ac:dyDescent="0.3">
      <c r="A223" s="16"/>
      <c r="B223" s="16"/>
      <c r="C223" s="17"/>
      <c r="D223" s="17"/>
      <c r="E223" s="16"/>
    </row>
    <row r="224" spans="1:5" ht="16.05" customHeight="1" x14ac:dyDescent="0.3">
      <c r="A224" s="16"/>
      <c r="B224" s="16"/>
      <c r="C224" s="17"/>
      <c r="D224" s="17"/>
      <c r="E224" s="16"/>
    </row>
    <row r="225" spans="1:5" ht="16.05" customHeight="1" x14ac:dyDescent="0.3">
      <c r="A225" s="16"/>
      <c r="B225" s="16"/>
      <c r="C225" s="17"/>
      <c r="D225" s="17"/>
      <c r="E225" s="16"/>
    </row>
    <row r="226" spans="1:5" ht="16.05" customHeight="1" x14ac:dyDescent="0.3">
      <c r="A226" s="16"/>
      <c r="B226" s="16"/>
      <c r="C226" s="17"/>
      <c r="D226" s="17"/>
      <c r="E226" s="16"/>
    </row>
    <row r="227" spans="1:5" ht="16.05" customHeight="1" x14ac:dyDescent="0.3">
      <c r="A227" s="16"/>
      <c r="B227" s="16"/>
      <c r="C227" s="17"/>
      <c r="D227" s="17"/>
      <c r="E227" s="16"/>
    </row>
    <row r="228" spans="1:5" ht="16.05" customHeight="1" x14ac:dyDescent="0.3">
      <c r="A228" s="16"/>
      <c r="B228" s="16"/>
      <c r="C228" s="17"/>
      <c r="D228" s="17"/>
      <c r="E228" s="16"/>
    </row>
    <row r="229" spans="1:5" ht="16.05" customHeight="1" x14ac:dyDescent="0.3">
      <c r="A229" s="16"/>
      <c r="B229" s="16"/>
      <c r="C229" s="17"/>
      <c r="D229" s="17"/>
      <c r="E229" s="16"/>
    </row>
    <row r="230" spans="1:5" ht="16.05" customHeight="1" x14ac:dyDescent="0.3">
      <c r="A230" s="16"/>
      <c r="B230" s="16"/>
      <c r="C230" s="17"/>
      <c r="D230" s="17"/>
      <c r="E230" s="16"/>
    </row>
    <row r="231" spans="1:5" ht="16.05" customHeight="1" x14ac:dyDescent="0.3">
      <c r="A231" s="16"/>
      <c r="B231" s="16"/>
      <c r="C231" s="17"/>
      <c r="D231" s="17"/>
      <c r="E231" s="16"/>
    </row>
    <row r="232" spans="1:5" ht="16.05" customHeight="1" x14ac:dyDescent="0.3">
      <c r="A232" s="16"/>
      <c r="B232" s="16"/>
      <c r="C232" s="17"/>
      <c r="D232" s="17"/>
      <c r="E232" s="16"/>
    </row>
    <row r="233" spans="1:5" ht="16.05" customHeight="1" x14ac:dyDescent="0.3">
      <c r="A233" s="16"/>
      <c r="B233" s="16"/>
      <c r="C233" s="17"/>
      <c r="D233" s="17"/>
      <c r="E233" s="16"/>
    </row>
    <row r="234" spans="1:5" ht="16.05" customHeight="1" x14ac:dyDescent="0.3">
      <c r="A234" s="16"/>
      <c r="B234" s="16"/>
      <c r="C234" s="17"/>
      <c r="D234" s="17"/>
      <c r="E234" s="16"/>
    </row>
    <row r="235" spans="1:5" ht="16.05" customHeight="1" x14ac:dyDescent="0.3">
      <c r="A235" s="16"/>
      <c r="B235" s="16"/>
      <c r="C235" s="17"/>
      <c r="D235" s="17"/>
      <c r="E235" s="16"/>
    </row>
    <row r="236" spans="1:5" ht="16.05" customHeight="1" x14ac:dyDescent="0.3">
      <c r="A236" s="16"/>
      <c r="B236" s="16"/>
      <c r="C236" s="17"/>
      <c r="D236" s="17"/>
      <c r="E236" s="16"/>
    </row>
    <row r="237" spans="1:5" ht="16.05" customHeight="1" x14ac:dyDescent="0.3">
      <c r="A237" s="16"/>
      <c r="B237" s="16"/>
      <c r="C237" s="17"/>
      <c r="D237" s="17"/>
      <c r="E237" s="16"/>
    </row>
    <row r="238" spans="1:5" ht="16.05" customHeight="1" x14ac:dyDescent="0.3">
      <c r="A238" s="16"/>
      <c r="B238" s="16"/>
      <c r="C238" s="17"/>
      <c r="D238" s="17"/>
      <c r="E238" s="16"/>
    </row>
    <row r="239" spans="1:5" ht="16.05" customHeight="1" x14ac:dyDescent="0.3">
      <c r="A239" s="16"/>
      <c r="B239" s="16"/>
      <c r="C239" s="17"/>
      <c r="D239" s="17"/>
      <c r="E239" s="16"/>
    </row>
    <row r="240" spans="1:5" ht="16.05" customHeight="1" x14ac:dyDescent="0.3">
      <c r="A240" s="16"/>
      <c r="B240" s="16"/>
      <c r="C240" s="17"/>
      <c r="D240" s="17"/>
      <c r="E240" s="16"/>
    </row>
    <row r="241" spans="1:5" ht="16.05" customHeight="1" x14ac:dyDescent="0.3">
      <c r="A241" s="16"/>
      <c r="B241" s="16"/>
      <c r="C241" s="17"/>
      <c r="D241" s="17"/>
      <c r="E241" s="16"/>
    </row>
    <row r="242" spans="1:5" ht="16.05" customHeight="1" x14ac:dyDescent="0.3">
      <c r="A242" s="16"/>
      <c r="B242" s="16"/>
      <c r="C242" s="17"/>
      <c r="D242" s="17"/>
      <c r="E242" s="16"/>
    </row>
    <row r="243" spans="1:5" ht="16.05" customHeight="1" x14ac:dyDescent="0.3">
      <c r="A243" s="16"/>
      <c r="B243" s="16"/>
      <c r="C243" s="17"/>
      <c r="D243" s="17"/>
      <c r="E243" s="16"/>
    </row>
    <row r="244" spans="1:5" ht="16.05" customHeight="1" x14ac:dyDescent="0.3">
      <c r="A244" s="16"/>
      <c r="B244" s="16"/>
      <c r="C244" s="17"/>
      <c r="D244" s="17"/>
      <c r="E244" s="16"/>
    </row>
    <row r="245" spans="1:5" ht="16.05" customHeight="1" x14ac:dyDescent="0.3">
      <c r="A245" s="16"/>
      <c r="B245" s="16"/>
      <c r="C245" s="17"/>
      <c r="D245" s="17"/>
      <c r="E245" s="16"/>
    </row>
    <row r="246" spans="1:5" ht="16.05" customHeight="1" x14ac:dyDescent="0.3">
      <c r="A246" s="16"/>
      <c r="B246" s="16"/>
      <c r="C246" s="17"/>
      <c r="D246" s="17"/>
      <c r="E246" s="16"/>
    </row>
    <row r="247" spans="1:5" ht="16.05" customHeight="1" x14ac:dyDescent="0.3">
      <c r="A247" s="16"/>
      <c r="B247" s="16"/>
      <c r="C247" s="17"/>
      <c r="D247" s="17"/>
      <c r="E247" s="16"/>
    </row>
    <row r="248" spans="1:5" ht="16.05" customHeight="1" x14ac:dyDescent="0.3">
      <c r="A248" s="16"/>
      <c r="B248" s="16"/>
      <c r="C248" s="17"/>
      <c r="D248" s="17"/>
      <c r="E248" s="16"/>
    </row>
    <row r="249" spans="1:5" ht="16.05" customHeight="1" x14ac:dyDescent="0.3">
      <c r="A249" s="16"/>
      <c r="B249" s="16"/>
      <c r="C249" s="17"/>
      <c r="D249" s="17"/>
      <c r="E249" s="16"/>
    </row>
    <row r="250" spans="1:5" ht="16.05" customHeight="1" x14ac:dyDescent="0.3">
      <c r="A250" s="16"/>
      <c r="B250" s="16"/>
      <c r="C250" s="17"/>
      <c r="D250" s="17"/>
      <c r="E250" s="16"/>
    </row>
    <row r="251" spans="1:5" ht="16.05" customHeight="1" x14ac:dyDescent="0.3">
      <c r="A251" s="16"/>
      <c r="B251" s="16"/>
      <c r="C251" s="17"/>
      <c r="D251" s="17"/>
      <c r="E251" s="16"/>
    </row>
    <row r="252" spans="1:5" ht="16.05" customHeight="1" x14ac:dyDescent="0.3">
      <c r="A252" s="16"/>
      <c r="B252" s="16"/>
      <c r="C252" s="17"/>
      <c r="D252" s="17"/>
      <c r="E252" s="16"/>
    </row>
    <row r="253" spans="1:5" ht="16.05" customHeight="1" x14ac:dyDescent="0.3">
      <c r="A253" s="16"/>
      <c r="B253" s="16"/>
      <c r="C253" s="17"/>
      <c r="D253" s="17"/>
      <c r="E253" s="16"/>
    </row>
    <row r="254" spans="1:5" ht="16.05" customHeight="1" x14ac:dyDescent="0.3">
      <c r="A254" s="16"/>
      <c r="B254" s="16"/>
      <c r="C254" s="17"/>
      <c r="D254" s="17"/>
      <c r="E254" s="16"/>
    </row>
    <row r="255" spans="1:5" ht="16.05" customHeight="1" x14ac:dyDescent="0.3">
      <c r="A255" s="16"/>
      <c r="B255" s="16"/>
      <c r="C255" s="17"/>
      <c r="D255" s="17"/>
      <c r="E255" s="16"/>
    </row>
    <row r="256" spans="1:5" ht="16.05" customHeight="1" x14ac:dyDescent="0.3">
      <c r="A256" s="16"/>
      <c r="B256" s="16"/>
      <c r="C256" s="17"/>
      <c r="D256" s="17"/>
      <c r="E256" s="16"/>
    </row>
    <row r="257" spans="1:5" ht="16.05" customHeight="1" x14ac:dyDescent="0.3">
      <c r="A257" s="16"/>
      <c r="B257" s="16"/>
      <c r="C257" s="17"/>
      <c r="D257" s="17"/>
      <c r="E257" s="16"/>
    </row>
    <row r="258" spans="1:5" ht="16.05" customHeight="1" x14ac:dyDescent="0.3">
      <c r="A258" s="16"/>
      <c r="B258" s="16"/>
      <c r="C258" s="17"/>
      <c r="D258" s="17"/>
      <c r="E258" s="16"/>
    </row>
    <row r="259" spans="1:5" ht="16.05" customHeight="1" x14ac:dyDescent="0.3">
      <c r="A259" s="16"/>
      <c r="B259" s="16"/>
      <c r="C259" s="17"/>
      <c r="D259" s="17"/>
      <c r="E259" s="16"/>
    </row>
    <row r="260" spans="1:5" ht="16.05" customHeight="1" x14ac:dyDescent="0.3">
      <c r="A260" s="16"/>
      <c r="B260" s="16"/>
      <c r="C260" s="17"/>
      <c r="D260" s="17"/>
      <c r="E260" s="16"/>
    </row>
    <row r="261" spans="1:5" ht="16.05" customHeight="1" x14ac:dyDescent="0.3">
      <c r="A261" s="16"/>
      <c r="B261" s="16"/>
      <c r="C261" s="17"/>
      <c r="D261" s="17"/>
      <c r="E261" s="16"/>
    </row>
    <row r="262" spans="1:5" ht="16.05" customHeight="1" x14ac:dyDescent="0.3">
      <c r="A262" s="16"/>
      <c r="B262" s="16"/>
      <c r="C262" s="17"/>
      <c r="D262" s="17"/>
      <c r="E262" s="16"/>
    </row>
    <row r="263" spans="1:5" ht="16.05" customHeight="1" x14ac:dyDescent="0.3">
      <c r="A263" s="16"/>
      <c r="B263" s="16"/>
      <c r="C263" s="17"/>
      <c r="D263" s="17"/>
      <c r="E263" s="16"/>
    </row>
    <row r="264" spans="1:5" ht="16.05" customHeight="1" x14ac:dyDescent="0.3">
      <c r="A264" s="16"/>
      <c r="B264" s="16"/>
      <c r="C264" s="17"/>
      <c r="D264" s="17"/>
      <c r="E264" s="16"/>
    </row>
    <row r="265" spans="1:5" ht="16.05" customHeight="1" x14ac:dyDescent="0.3">
      <c r="A265" s="16"/>
      <c r="B265" s="16"/>
      <c r="C265" s="17"/>
      <c r="D265" s="17"/>
      <c r="E265" s="16"/>
    </row>
    <row r="266" spans="1:5" ht="16.05" customHeight="1" x14ac:dyDescent="0.3">
      <c r="A266" s="16"/>
      <c r="B266" s="16"/>
      <c r="C266" s="17"/>
      <c r="D266" s="17"/>
      <c r="E266" s="16"/>
    </row>
    <row r="267" spans="1:5" ht="16.05" customHeight="1" x14ac:dyDescent="0.3">
      <c r="A267" s="16"/>
      <c r="B267" s="16"/>
      <c r="C267" s="17"/>
      <c r="D267" s="17"/>
      <c r="E267" s="16"/>
    </row>
    <row r="268" spans="1:5" ht="16.05" customHeight="1" x14ac:dyDescent="0.3">
      <c r="A268" s="16"/>
      <c r="B268" s="16"/>
      <c r="C268" s="17"/>
      <c r="D268" s="17"/>
      <c r="E268" s="16"/>
    </row>
    <row r="269" spans="1:5" ht="16.05" customHeight="1" x14ac:dyDescent="0.3">
      <c r="A269" s="16"/>
      <c r="B269" s="16"/>
      <c r="C269" s="17"/>
      <c r="D269" s="17"/>
      <c r="E269" s="16"/>
    </row>
    <row r="270" spans="1:5" ht="16.05" customHeight="1" x14ac:dyDescent="0.3">
      <c r="A270" s="16"/>
      <c r="B270" s="16"/>
      <c r="C270" s="17"/>
      <c r="D270" s="17"/>
      <c r="E270" s="16"/>
    </row>
    <row r="271" spans="1:5" ht="16.05" customHeight="1" x14ac:dyDescent="0.3">
      <c r="A271" s="16"/>
      <c r="B271" s="16"/>
      <c r="C271" s="17"/>
      <c r="D271" s="17"/>
      <c r="E271" s="16"/>
    </row>
    <row r="272" spans="1:5" ht="16.05" customHeight="1" x14ac:dyDescent="0.3">
      <c r="A272" s="16"/>
      <c r="B272" s="16"/>
      <c r="C272" s="17"/>
      <c r="D272" s="17"/>
      <c r="E272" s="16"/>
    </row>
    <row r="273" spans="1:5" ht="16.05" customHeight="1" x14ac:dyDescent="0.3">
      <c r="A273" s="16"/>
      <c r="B273" s="16"/>
      <c r="C273" s="17"/>
      <c r="D273" s="17"/>
      <c r="E273" s="16"/>
    </row>
    <row r="274" spans="1:5" ht="16.05" customHeight="1" x14ac:dyDescent="0.3">
      <c r="A274" s="16"/>
      <c r="B274" s="16"/>
      <c r="C274" s="17"/>
      <c r="D274" s="17"/>
      <c r="E274" s="16"/>
    </row>
    <row r="275" spans="1:5" ht="16.05" customHeight="1" x14ac:dyDescent="0.3">
      <c r="A275" s="16"/>
      <c r="B275" s="16"/>
      <c r="C275" s="17"/>
      <c r="D275" s="17"/>
      <c r="E275" s="16"/>
    </row>
    <row r="276" spans="1:5" ht="16.05" customHeight="1" x14ac:dyDescent="0.3">
      <c r="A276" s="16"/>
      <c r="B276" s="16"/>
      <c r="C276" s="17"/>
      <c r="D276" s="17"/>
      <c r="E276" s="16"/>
    </row>
    <row r="277" spans="1:5" ht="16.05" customHeight="1" x14ac:dyDescent="0.3">
      <c r="A277" s="16"/>
      <c r="B277" s="16"/>
      <c r="C277" s="17"/>
      <c r="D277" s="17"/>
      <c r="E277" s="16"/>
    </row>
    <row r="278" spans="1:5" ht="16.05" customHeight="1" x14ac:dyDescent="0.3">
      <c r="A278" s="16"/>
      <c r="B278" s="16"/>
      <c r="C278" s="17"/>
      <c r="D278" s="17"/>
      <c r="E278" s="16"/>
    </row>
    <row r="279" spans="1:5" ht="16.05" customHeight="1" x14ac:dyDescent="0.3">
      <c r="A279" s="16"/>
      <c r="B279" s="16"/>
      <c r="C279" s="17"/>
      <c r="D279" s="17"/>
      <c r="E279" s="16"/>
    </row>
    <row r="280" spans="1:5" ht="16.05" customHeight="1" x14ac:dyDescent="0.3">
      <c r="A280" s="16"/>
      <c r="B280" s="16"/>
      <c r="C280" s="17"/>
      <c r="D280" s="17"/>
      <c r="E280" s="16"/>
    </row>
    <row r="281" spans="1:5" ht="16.05" customHeight="1" x14ac:dyDescent="0.3">
      <c r="A281" s="16"/>
      <c r="B281" s="16"/>
      <c r="C281" s="17"/>
      <c r="D281" s="17"/>
      <c r="E281" s="16"/>
    </row>
    <row r="282" spans="1:5" ht="16.05" customHeight="1" x14ac:dyDescent="0.3">
      <c r="A282" s="16"/>
      <c r="B282" s="16"/>
      <c r="C282" s="17"/>
      <c r="D282" s="17"/>
      <c r="E282" s="16"/>
    </row>
    <row r="283" spans="1:5" ht="16.05" customHeight="1" x14ac:dyDescent="0.3">
      <c r="A283" s="16"/>
      <c r="B283" s="16"/>
      <c r="C283" s="17"/>
      <c r="D283" s="17"/>
      <c r="E283" s="16"/>
    </row>
    <row r="284" spans="1:5" ht="16.05" customHeight="1" x14ac:dyDescent="0.3">
      <c r="A284" s="16"/>
      <c r="B284" s="16"/>
      <c r="C284" s="17"/>
      <c r="D284" s="17"/>
      <c r="E284" s="16"/>
    </row>
    <row r="285" spans="1:5" ht="16.05" customHeight="1" x14ac:dyDescent="0.3">
      <c r="A285" s="16"/>
      <c r="B285" s="16"/>
      <c r="C285" s="17"/>
      <c r="D285" s="17"/>
      <c r="E285" s="16"/>
    </row>
    <row r="286" spans="1:5" ht="16.05" customHeight="1" x14ac:dyDescent="0.3">
      <c r="A286" s="16"/>
      <c r="B286" s="16"/>
      <c r="C286" s="17"/>
      <c r="D286" s="17"/>
      <c r="E286" s="16"/>
    </row>
    <row r="287" spans="1:5" ht="16.05" customHeight="1" x14ac:dyDescent="0.3">
      <c r="A287" s="16"/>
      <c r="B287" s="16"/>
      <c r="C287" s="17"/>
      <c r="D287" s="17"/>
      <c r="E287" s="16"/>
    </row>
    <row r="288" spans="1:5" ht="16.05" customHeight="1" x14ac:dyDescent="0.3">
      <c r="A288" s="16"/>
      <c r="B288" s="16"/>
      <c r="C288" s="17"/>
      <c r="D288" s="17"/>
      <c r="E288" s="16"/>
    </row>
    <row r="289" spans="1:5" ht="16.05" customHeight="1" x14ac:dyDescent="0.3">
      <c r="A289" s="16"/>
      <c r="B289" s="16"/>
      <c r="C289" s="17"/>
      <c r="D289" s="17"/>
      <c r="E289" s="16"/>
    </row>
    <row r="290" spans="1:5" ht="16.05" customHeight="1" x14ac:dyDescent="0.3">
      <c r="A290" s="16"/>
      <c r="B290" s="16"/>
      <c r="C290" s="17"/>
      <c r="D290" s="17"/>
      <c r="E290" s="16"/>
    </row>
    <row r="291" spans="1:5" ht="16.05" customHeight="1" x14ac:dyDescent="0.3">
      <c r="A291" s="16"/>
      <c r="B291" s="16"/>
      <c r="C291" s="17"/>
      <c r="D291" s="17"/>
      <c r="E291" s="16"/>
    </row>
    <row r="292" spans="1:5" ht="16.05" customHeight="1" x14ac:dyDescent="0.3">
      <c r="A292" s="16"/>
      <c r="B292" s="16"/>
      <c r="C292" s="17"/>
      <c r="D292" s="17"/>
      <c r="E292" s="16"/>
    </row>
    <row r="293" spans="1:5" ht="16.05" customHeight="1" x14ac:dyDescent="0.3">
      <c r="A293" s="16"/>
      <c r="B293" s="16"/>
      <c r="C293" s="17"/>
      <c r="D293" s="17"/>
      <c r="E293" s="16"/>
    </row>
    <row r="294" spans="1:5" ht="16.05" customHeight="1" x14ac:dyDescent="0.3">
      <c r="A294" s="16"/>
      <c r="B294" s="16"/>
      <c r="C294" s="17"/>
      <c r="D294" s="17"/>
      <c r="E294" s="16"/>
    </row>
    <row r="295" spans="1:5" ht="16.05" customHeight="1" x14ac:dyDescent="0.3">
      <c r="A295" s="16"/>
      <c r="B295" s="16"/>
      <c r="C295" s="17"/>
      <c r="D295" s="17"/>
      <c r="E295" s="16"/>
    </row>
    <row r="296" spans="1:5" ht="16.05" customHeight="1" x14ac:dyDescent="0.3">
      <c r="A296" s="16"/>
      <c r="B296" s="16"/>
      <c r="C296" s="17"/>
      <c r="D296" s="17"/>
      <c r="E296" s="16"/>
    </row>
    <row r="297" spans="1:5" ht="16.05" customHeight="1" x14ac:dyDescent="0.3">
      <c r="A297" s="16"/>
      <c r="B297" s="16"/>
      <c r="C297" s="17"/>
      <c r="D297" s="17"/>
      <c r="E297" s="16"/>
    </row>
    <row r="298" spans="1:5" ht="16.05" customHeight="1" x14ac:dyDescent="0.3">
      <c r="A298" s="16"/>
      <c r="B298" s="16"/>
      <c r="C298" s="17"/>
      <c r="D298" s="17"/>
      <c r="E298" s="16"/>
    </row>
    <row r="299" spans="1:5" ht="16.05" customHeight="1" x14ac:dyDescent="0.3">
      <c r="A299" s="16"/>
      <c r="B299" s="16"/>
      <c r="C299" s="17"/>
      <c r="D299" s="17"/>
      <c r="E299" s="16"/>
    </row>
  </sheetData>
  <dataValidations count="1">
    <dataValidation type="list" allowBlank="1" sqref="E2:E500" xr:uid="{00000000-0002-0000-0200-000000000000}">
      <formula1>"SI,NO"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1"/>
  <sheetViews>
    <sheetView zoomScale="9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6" customWidth="1"/>
    <col min="2" max="2" width="12" customWidth="1"/>
    <col min="3" max="3" width="14" customWidth="1"/>
    <col min="4" max="4" width="8" customWidth="1"/>
    <col min="5" max="5" width="10" customWidth="1"/>
    <col min="6" max="6" width="16" customWidth="1"/>
    <col min="7" max="7" width="14" customWidth="1"/>
    <col min="8" max="8" width="40" customWidth="1"/>
  </cols>
  <sheetData>
    <row r="1" spans="1:8" ht="22.05" customHeight="1" x14ac:dyDescent="0.3">
      <c r="A1" s="4" t="s">
        <v>108</v>
      </c>
      <c r="B1" s="4" t="s">
        <v>109</v>
      </c>
      <c r="C1" s="4" t="s">
        <v>110</v>
      </c>
      <c r="D1" s="4" t="s">
        <v>79</v>
      </c>
      <c r="E1" s="4" t="s">
        <v>87</v>
      </c>
      <c r="F1" s="4" t="s">
        <v>111</v>
      </c>
      <c r="G1" s="4" t="s">
        <v>112</v>
      </c>
      <c r="H1" s="4" t="s">
        <v>113</v>
      </c>
    </row>
    <row r="2" spans="1:8" ht="16.05" customHeight="1" x14ac:dyDescent="0.3">
      <c r="A2" s="16"/>
      <c r="B2" s="16"/>
      <c r="C2" s="16"/>
      <c r="D2" s="16"/>
      <c r="E2" s="16"/>
      <c r="F2" s="16"/>
      <c r="G2" s="16"/>
      <c r="H2" s="17"/>
    </row>
    <row r="3" spans="1:8" ht="16.05" customHeight="1" x14ac:dyDescent="0.3">
      <c r="A3" s="16"/>
      <c r="B3" s="16"/>
      <c r="C3" s="16"/>
      <c r="D3" s="16"/>
      <c r="E3" s="16"/>
      <c r="F3" s="16"/>
      <c r="G3" s="16"/>
      <c r="H3" s="17"/>
    </row>
    <row r="4" spans="1:8" ht="16.05" customHeight="1" x14ac:dyDescent="0.3">
      <c r="A4" s="16"/>
      <c r="B4" s="16"/>
      <c r="C4" s="16"/>
      <c r="D4" s="16"/>
      <c r="E4" s="16"/>
      <c r="F4" s="16"/>
      <c r="G4" s="16"/>
      <c r="H4" s="17"/>
    </row>
    <row r="5" spans="1:8" ht="16.05" customHeight="1" x14ac:dyDescent="0.3">
      <c r="A5" s="16"/>
      <c r="B5" s="16"/>
      <c r="C5" s="16"/>
      <c r="D5" s="16"/>
      <c r="E5" s="16"/>
      <c r="F5" s="16"/>
      <c r="G5" s="16"/>
      <c r="H5" s="17"/>
    </row>
    <row r="6" spans="1:8" ht="16.05" customHeight="1" x14ac:dyDescent="0.3">
      <c r="A6" s="16"/>
      <c r="B6" s="16"/>
      <c r="C6" s="16"/>
      <c r="D6" s="16"/>
      <c r="E6" s="16"/>
      <c r="F6" s="16"/>
      <c r="G6" s="16"/>
      <c r="H6" s="17"/>
    </row>
    <row r="7" spans="1:8" ht="16.05" customHeight="1" x14ac:dyDescent="0.3">
      <c r="A7" s="16"/>
      <c r="B7" s="16"/>
      <c r="C7" s="16"/>
      <c r="D7" s="16"/>
      <c r="E7" s="16"/>
      <c r="F7" s="16"/>
      <c r="G7" s="16"/>
      <c r="H7" s="17"/>
    </row>
    <row r="8" spans="1:8" ht="16.05" customHeight="1" x14ac:dyDescent="0.3">
      <c r="A8" s="16"/>
      <c r="B8" s="16"/>
      <c r="C8" s="16"/>
      <c r="D8" s="16"/>
      <c r="E8" s="16"/>
      <c r="F8" s="16"/>
      <c r="G8" s="16"/>
      <c r="H8" s="17"/>
    </row>
    <row r="9" spans="1:8" ht="16.05" customHeight="1" x14ac:dyDescent="0.3">
      <c r="A9" s="16"/>
      <c r="B9" s="16"/>
      <c r="C9" s="16"/>
      <c r="D9" s="16"/>
      <c r="E9" s="16"/>
      <c r="F9" s="16"/>
      <c r="G9" s="16"/>
      <c r="H9" s="17"/>
    </row>
    <row r="10" spans="1:8" ht="16.05" customHeight="1" x14ac:dyDescent="0.3">
      <c r="A10" s="16"/>
      <c r="B10" s="16"/>
      <c r="C10" s="16"/>
      <c r="D10" s="16"/>
      <c r="E10" s="16"/>
      <c r="F10" s="16"/>
      <c r="G10" s="16"/>
      <c r="H10" s="17"/>
    </row>
    <row r="11" spans="1:8" ht="16.05" customHeight="1" x14ac:dyDescent="0.3">
      <c r="A11" s="16"/>
      <c r="B11" s="16"/>
      <c r="C11" s="16"/>
      <c r="D11" s="16"/>
      <c r="E11" s="16"/>
      <c r="F11" s="16"/>
      <c r="G11" s="16"/>
      <c r="H11" s="17"/>
    </row>
    <row r="12" spans="1:8" ht="16.05" customHeight="1" x14ac:dyDescent="0.3">
      <c r="A12" s="16"/>
      <c r="B12" s="16"/>
      <c r="C12" s="16"/>
      <c r="D12" s="16"/>
      <c r="E12" s="16"/>
      <c r="F12" s="16"/>
      <c r="G12" s="16"/>
      <c r="H12" s="17"/>
    </row>
    <row r="13" spans="1:8" ht="16.05" customHeight="1" x14ac:dyDescent="0.3">
      <c r="A13" s="16"/>
      <c r="B13" s="16"/>
      <c r="C13" s="16"/>
      <c r="D13" s="16"/>
      <c r="E13" s="16"/>
      <c r="F13" s="16"/>
      <c r="G13" s="16"/>
      <c r="H13" s="17"/>
    </row>
    <row r="14" spans="1:8" ht="16.05" customHeight="1" x14ac:dyDescent="0.3">
      <c r="A14" s="16"/>
      <c r="B14" s="16"/>
      <c r="C14" s="16"/>
      <c r="D14" s="16"/>
      <c r="E14" s="16"/>
      <c r="F14" s="16"/>
      <c r="G14" s="16"/>
      <c r="H14" s="17"/>
    </row>
    <row r="15" spans="1:8" ht="16.05" customHeight="1" x14ac:dyDescent="0.3">
      <c r="A15" s="16"/>
      <c r="B15" s="16"/>
      <c r="C15" s="16"/>
      <c r="D15" s="16"/>
      <c r="E15" s="16"/>
      <c r="F15" s="16"/>
      <c r="G15" s="16"/>
      <c r="H15" s="17"/>
    </row>
    <row r="16" spans="1:8" ht="16.05" customHeight="1" x14ac:dyDescent="0.3">
      <c r="A16" s="16"/>
      <c r="B16" s="16"/>
      <c r="C16" s="16"/>
      <c r="D16" s="16"/>
      <c r="E16" s="16"/>
      <c r="F16" s="16"/>
      <c r="G16" s="16"/>
      <c r="H16" s="17"/>
    </row>
    <row r="17" spans="1:8" ht="16.05" customHeight="1" x14ac:dyDescent="0.3">
      <c r="A17" s="16"/>
      <c r="B17" s="16"/>
      <c r="C17" s="16"/>
      <c r="D17" s="16"/>
      <c r="E17" s="16"/>
      <c r="F17" s="16"/>
      <c r="G17" s="16"/>
      <c r="H17" s="17"/>
    </row>
    <row r="18" spans="1:8" ht="16.05" customHeight="1" x14ac:dyDescent="0.3">
      <c r="A18" s="16"/>
      <c r="B18" s="16"/>
      <c r="C18" s="16"/>
      <c r="D18" s="16"/>
      <c r="E18" s="16"/>
      <c r="F18" s="16"/>
      <c r="G18" s="16"/>
      <c r="H18" s="17"/>
    </row>
    <row r="19" spans="1:8" ht="16.05" customHeight="1" x14ac:dyDescent="0.3">
      <c r="A19" s="16"/>
      <c r="B19" s="16"/>
      <c r="C19" s="16"/>
      <c r="D19" s="16"/>
      <c r="E19" s="16"/>
      <c r="F19" s="16"/>
      <c r="G19" s="16"/>
      <c r="H19" s="17"/>
    </row>
    <row r="20" spans="1:8" ht="16.05" customHeight="1" x14ac:dyDescent="0.3">
      <c r="A20" s="16"/>
      <c r="B20" s="16"/>
      <c r="C20" s="16"/>
      <c r="D20" s="16"/>
      <c r="E20" s="16"/>
      <c r="F20" s="16"/>
      <c r="G20" s="16"/>
      <c r="H20" s="17"/>
    </row>
    <row r="21" spans="1:8" ht="16.05" customHeight="1" x14ac:dyDescent="0.3">
      <c r="A21" s="16"/>
      <c r="B21" s="16"/>
      <c r="C21" s="16"/>
      <c r="D21" s="16"/>
      <c r="E21" s="16"/>
      <c r="F21" s="16"/>
      <c r="G21" s="16"/>
      <c r="H21" s="17"/>
    </row>
    <row r="22" spans="1:8" ht="16.05" customHeight="1" x14ac:dyDescent="0.3">
      <c r="A22" s="16"/>
      <c r="B22" s="16"/>
      <c r="C22" s="16"/>
      <c r="D22" s="16"/>
      <c r="E22" s="16"/>
      <c r="F22" s="16"/>
      <c r="G22" s="16"/>
      <c r="H22" s="17"/>
    </row>
    <row r="23" spans="1:8" ht="16.05" customHeight="1" x14ac:dyDescent="0.3">
      <c r="A23" s="16"/>
      <c r="B23" s="16"/>
      <c r="C23" s="16"/>
      <c r="D23" s="16"/>
      <c r="E23" s="16"/>
      <c r="F23" s="16"/>
      <c r="G23" s="16"/>
      <c r="H23" s="17"/>
    </row>
    <row r="24" spans="1:8" ht="16.05" customHeight="1" x14ac:dyDescent="0.3">
      <c r="A24" s="16"/>
      <c r="B24" s="16"/>
      <c r="C24" s="16"/>
      <c r="D24" s="16"/>
      <c r="E24" s="16"/>
      <c r="F24" s="16"/>
      <c r="G24" s="16"/>
      <c r="H24" s="17"/>
    </row>
    <row r="25" spans="1:8" ht="16.05" customHeight="1" x14ac:dyDescent="0.3">
      <c r="A25" s="16"/>
      <c r="B25" s="16"/>
      <c r="C25" s="16"/>
      <c r="D25" s="16"/>
      <c r="E25" s="16"/>
      <c r="F25" s="16"/>
      <c r="G25" s="16"/>
      <c r="H25" s="17"/>
    </row>
    <row r="26" spans="1:8" ht="16.05" customHeight="1" x14ac:dyDescent="0.3">
      <c r="A26" s="16"/>
      <c r="B26" s="16"/>
      <c r="C26" s="16"/>
      <c r="D26" s="16"/>
      <c r="E26" s="16"/>
      <c r="F26" s="16"/>
      <c r="G26" s="16"/>
      <c r="H26" s="17"/>
    </row>
    <row r="27" spans="1:8" ht="16.05" customHeight="1" x14ac:dyDescent="0.3">
      <c r="A27" s="16"/>
      <c r="B27" s="16"/>
      <c r="C27" s="16"/>
      <c r="D27" s="16"/>
      <c r="E27" s="16"/>
      <c r="F27" s="16"/>
      <c r="G27" s="16"/>
      <c r="H27" s="17"/>
    </row>
    <row r="28" spans="1:8" ht="16.05" customHeight="1" x14ac:dyDescent="0.3">
      <c r="A28" s="16"/>
      <c r="B28" s="16"/>
      <c r="C28" s="16"/>
      <c r="D28" s="16"/>
      <c r="E28" s="16"/>
      <c r="F28" s="16"/>
      <c r="G28" s="16"/>
      <c r="H28" s="17"/>
    </row>
    <row r="29" spans="1:8" ht="16.05" customHeight="1" x14ac:dyDescent="0.3">
      <c r="A29" s="16"/>
      <c r="B29" s="16"/>
      <c r="C29" s="16"/>
      <c r="D29" s="16"/>
      <c r="E29" s="16"/>
      <c r="F29" s="16"/>
      <c r="G29" s="16"/>
      <c r="H29" s="17"/>
    </row>
    <row r="30" spans="1:8" ht="16.05" customHeight="1" x14ac:dyDescent="0.3">
      <c r="A30" s="16"/>
      <c r="B30" s="16"/>
      <c r="C30" s="16"/>
      <c r="D30" s="16"/>
      <c r="E30" s="16"/>
      <c r="F30" s="16"/>
      <c r="G30" s="16"/>
      <c r="H30" s="17"/>
    </row>
    <row r="31" spans="1:8" ht="16.05" customHeight="1" x14ac:dyDescent="0.3">
      <c r="A31" s="16"/>
      <c r="B31" s="16"/>
      <c r="C31" s="16"/>
      <c r="D31" s="16"/>
      <c r="E31" s="16"/>
      <c r="F31" s="16"/>
      <c r="G31" s="16"/>
      <c r="H31" s="17"/>
    </row>
    <row r="32" spans="1:8" ht="16.05" customHeight="1" x14ac:dyDescent="0.3">
      <c r="A32" s="16"/>
      <c r="B32" s="16"/>
      <c r="C32" s="16"/>
      <c r="D32" s="16"/>
      <c r="E32" s="16"/>
      <c r="F32" s="16"/>
      <c r="G32" s="16"/>
      <c r="H32" s="17"/>
    </row>
    <row r="33" spans="1:8" ht="16.05" customHeight="1" x14ac:dyDescent="0.3">
      <c r="A33" s="16"/>
      <c r="B33" s="16"/>
      <c r="C33" s="16"/>
      <c r="D33" s="16"/>
      <c r="E33" s="16"/>
      <c r="F33" s="16"/>
      <c r="G33" s="16"/>
      <c r="H33" s="17"/>
    </row>
    <row r="34" spans="1:8" ht="16.05" customHeight="1" x14ac:dyDescent="0.3">
      <c r="A34" s="16"/>
      <c r="B34" s="16"/>
      <c r="C34" s="16"/>
      <c r="D34" s="16"/>
      <c r="E34" s="16"/>
      <c r="F34" s="16"/>
      <c r="G34" s="16"/>
      <c r="H34" s="17"/>
    </row>
    <row r="35" spans="1:8" ht="16.05" customHeight="1" x14ac:dyDescent="0.3">
      <c r="A35" s="16"/>
      <c r="B35" s="16"/>
      <c r="C35" s="16"/>
      <c r="D35" s="16"/>
      <c r="E35" s="16"/>
      <c r="F35" s="16"/>
      <c r="G35" s="16"/>
      <c r="H35" s="17"/>
    </row>
    <row r="36" spans="1:8" ht="16.05" customHeight="1" x14ac:dyDescent="0.3">
      <c r="A36" s="16"/>
      <c r="B36" s="16"/>
      <c r="C36" s="16"/>
      <c r="D36" s="16"/>
      <c r="E36" s="16"/>
      <c r="F36" s="16"/>
      <c r="G36" s="16"/>
      <c r="H36" s="17"/>
    </row>
    <row r="37" spans="1:8" ht="16.05" customHeight="1" x14ac:dyDescent="0.3">
      <c r="A37" s="16"/>
      <c r="B37" s="16"/>
      <c r="C37" s="16"/>
      <c r="D37" s="16"/>
      <c r="E37" s="16"/>
      <c r="F37" s="16"/>
      <c r="G37" s="16"/>
      <c r="H37" s="17"/>
    </row>
    <row r="38" spans="1:8" ht="16.05" customHeight="1" x14ac:dyDescent="0.3">
      <c r="A38" s="16"/>
      <c r="B38" s="16"/>
      <c r="C38" s="16"/>
      <c r="D38" s="16"/>
      <c r="E38" s="16"/>
      <c r="F38" s="16"/>
      <c r="G38" s="16"/>
      <c r="H38" s="17"/>
    </row>
    <row r="39" spans="1:8" ht="16.05" customHeight="1" x14ac:dyDescent="0.3">
      <c r="A39" s="16"/>
      <c r="B39" s="16"/>
      <c r="C39" s="16"/>
      <c r="D39" s="16"/>
      <c r="E39" s="16"/>
      <c r="F39" s="16"/>
      <c r="G39" s="16"/>
      <c r="H39" s="17"/>
    </row>
    <row r="40" spans="1:8" ht="16.05" customHeight="1" x14ac:dyDescent="0.3">
      <c r="A40" s="16"/>
      <c r="B40" s="16"/>
      <c r="C40" s="16"/>
      <c r="D40" s="16"/>
      <c r="E40" s="16"/>
      <c r="F40" s="16"/>
      <c r="G40" s="16"/>
      <c r="H40" s="17"/>
    </row>
    <row r="41" spans="1:8" ht="16.05" customHeight="1" x14ac:dyDescent="0.3">
      <c r="A41" s="16"/>
      <c r="B41" s="16"/>
      <c r="C41" s="16"/>
      <c r="D41" s="16"/>
      <c r="E41" s="16"/>
      <c r="F41" s="16"/>
      <c r="G41" s="16"/>
      <c r="H41" s="17"/>
    </row>
    <row r="42" spans="1:8" ht="16.05" customHeight="1" x14ac:dyDescent="0.3">
      <c r="A42" s="16"/>
      <c r="B42" s="16"/>
      <c r="C42" s="16"/>
      <c r="D42" s="16"/>
      <c r="E42" s="16"/>
      <c r="F42" s="16"/>
      <c r="G42" s="16"/>
      <c r="H42" s="17"/>
    </row>
    <row r="43" spans="1:8" ht="16.05" customHeight="1" x14ac:dyDescent="0.3">
      <c r="A43" s="16"/>
      <c r="B43" s="16"/>
      <c r="C43" s="16"/>
      <c r="D43" s="16"/>
      <c r="E43" s="16"/>
      <c r="F43" s="16"/>
      <c r="G43" s="16"/>
      <c r="H43" s="17"/>
    </row>
    <row r="44" spans="1:8" ht="16.05" customHeight="1" x14ac:dyDescent="0.3">
      <c r="A44" s="16"/>
      <c r="B44" s="16"/>
      <c r="C44" s="16"/>
      <c r="D44" s="16"/>
      <c r="E44" s="16"/>
      <c r="F44" s="16"/>
      <c r="G44" s="16"/>
      <c r="H44" s="17"/>
    </row>
    <row r="45" spans="1:8" ht="16.05" customHeight="1" x14ac:dyDescent="0.3">
      <c r="A45" s="16"/>
      <c r="B45" s="16"/>
      <c r="C45" s="16"/>
      <c r="D45" s="16"/>
      <c r="E45" s="16"/>
      <c r="F45" s="16"/>
      <c r="G45" s="16"/>
      <c r="H45" s="17"/>
    </row>
    <row r="46" spans="1:8" ht="16.05" customHeight="1" x14ac:dyDescent="0.3">
      <c r="A46" s="16"/>
      <c r="B46" s="16"/>
      <c r="C46" s="16"/>
      <c r="D46" s="16"/>
      <c r="E46" s="16"/>
      <c r="F46" s="16"/>
      <c r="G46" s="16"/>
      <c r="H46" s="17"/>
    </row>
    <row r="47" spans="1:8" ht="16.05" customHeight="1" x14ac:dyDescent="0.3">
      <c r="A47" s="16"/>
      <c r="B47" s="16"/>
      <c r="C47" s="16"/>
      <c r="D47" s="16"/>
      <c r="E47" s="16"/>
      <c r="F47" s="16"/>
      <c r="G47" s="16"/>
      <c r="H47" s="17"/>
    </row>
    <row r="48" spans="1:8" ht="16.05" customHeight="1" x14ac:dyDescent="0.3">
      <c r="A48" s="16"/>
      <c r="B48" s="16"/>
      <c r="C48" s="16"/>
      <c r="D48" s="16"/>
      <c r="E48" s="16"/>
      <c r="F48" s="16"/>
      <c r="G48" s="16"/>
      <c r="H48" s="17"/>
    </row>
    <row r="49" spans="1:8" ht="16.05" customHeight="1" x14ac:dyDescent="0.3">
      <c r="A49" s="16"/>
      <c r="B49" s="16"/>
      <c r="C49" s="16"/>
      <c r="D49" s="16"/>
      <c r="E49" s="16"/>
      <c r="F49" s="16"/>
      <c r="G49" s="16"/>
      <c r="H49" s="17"/>
    </row>
    <row r="50" spans="1:8" ht="16.05" customHeight="1" x14ac:dyDescent="0.3">
      <c r="A50" s="16"/>
      <c r="B50" s="16"/>
      <c r="C50" s="16"/>
      <c r="D50" s="16"/>
      <c r="E50" s="16"/>
      <c r="F50" s="16"/>
      <c r="G50" s="16"/>
      <c r="H50" s="17"/>
    </row>
    <row r="51" spans="1:8" ht="16.05" customHeight="1" x14ac:dyDescent="0.3">
      <c r="A51" s="16"/>
      <c r="B51" s="16"/>
      <c r="C51" s="16"/>
      <c r="D51" s="16"/>
      <c r="E51" s="16"/>
      <c r="F51" s="16"/>
      <c r="G51" s="16"/>
      <c r="H51" s="17"/>
    </row>
    <row r="52" spans="1:8" ht="16.05" customHeight="1" x14ac:dyDescent="0.3">
      <c r="A52" s="16"/>
      <c r="B52" s="16"/>
      <c r="C52" s="16"/>
      <c r="D52" s="16"/>
      <c r="E52" s="16"/>
      <c r="F52" s="16"/>
      <c r="G52" s="16"/>
      <c r="H52" s="17"/>
    </row>
    <row r="53" spans="1:8" ht="16.05" customHeight="1" x14ac:dyDescent="0.3">
      <c r="A53" s="16"/>
      <c r="B53" s="16"/>
      <c r="C53" s="16"/>
      <c r="D53" s="16"/>
      <c r="E53" s="16"/>
      <c r="F53" s="16"/>
      <c r="G53" s="16"/>
      <c r="H53" s="17"/>
    </row>
    <row r="54" spans="1:8" ht="16.05" customHeight="1" x14ac:dyDescent="0.3">
      <c r="A54" s="16"/>
      <c r="B54" s="16"/>
      <c r="C54" s="16"/>
      <c r="D54" s="16"/>
      <c r="E54" s="16"/>
      <c r="F54" s="16"/>
      <c r="G54" s="16"/>
      <c r="H54" s="17"/>
    </row>
    <row r="55" spans="1:8" ht="16.05" customHeight="1" x14ac:dyDescent="0.3">
      <c r="A55" s="16"/>
      <c r="B55" s="16"/>
      <c r="C55" s="16"/>
      <c r="D55" s="16"/>
      <c r="E55" s="16"/>
      <c r="F55" s="16"/>
      <c r="G55" s="16"/>
      <c r="H55" s="17"/>
    </row>
    <row r="56" spans="1:8" ht="16.05" customHeight="1" x14ac:dyDescent="0.3">
      <c r="A56" s="16"/>
      <c r="B56" s="16"/>
      <c r="C56" s="16"/>
      <c r="D56" s="16"/>
      <c r="E56" s="16"/>
      <c r="F56" s="16"/>
      <c r="G56" s="16"/>
      <c r="H56" s="17"/>
    </row>
    <row r="57" spans="1:8" ht="16.05" customHeight="1" x14ac:dyDescent="0.3">
      <c r="A57" s="16"/>
      <c r="B57" s="16"/>
      <c r="C57" s="16"/>
      <c r="D57" s="16"/>
      <c r="E57" s="16"/>
      <c r="F57" s="16"/>
      <c r="G57" s="16"/>
      <c r="H57" s="17"/>
    </row>
    <row r="58" spans="1:8" ht="16.05" customHeight="1" x14ac:dyDescent="0.3">
      <c r="A58" s="16"/>
      <c r="B58" s="16"/>
      <c r="C58" s="16"/>
      <c r="D58" s="16"/>
      <c r="E58" s="16"/>
      <c r="F58" s="16"/>
      <c r="G58" s="16"/>
      <c r="H58" s="17"/>
    </row>
    <row r="59" spans="1:8" ht="16.05" customHeight="1" x14ac:dyDescent="0.3">
      <c r="A59" s="16"/>
      <c r="B59" s="16"/>
      <c r="C59" s="16"/>
      <c r="D59" s="16"/>
      <c r="E59" s="16"/>
      <c r="F59" s="16"/>
      <c r="G59" s="16"/>
      <c r="H59" s="17"/>
    </row>
    <row r="60" spans="1:8" ht="16.05" customHeight="1" x14ac:dyDescent="0.3">
      <c r="A60" s="16"/>
      <c r="B60" s="16"/>
      <c r="C60" s="16"/>
      <c r="D60" s="16"/>
      <c r="E60" s="16"/>
      <c r="F60" s="16"/>
      <c r="G60" s="16"/>
      <c r="H60" s="17"/>
    </row>
    <row r="61" spans="1:8" ht="16.05" customHeight="1" x14ac:dyDescent="0.3">
      <c r="A61" s="16"/>
      <c r="B61" s="16"/>
      <c r="C61" s="16"/>
      <c r="D61" s="16"/>
      <c r="E61" s="16"/>
      <c r="F61" s="16"/>
      <c r="G61" s="16"/>
      <c r="H61" s="17"/>
    </row>
    <row r="62" spans="1:8" ht="16.05" customHeight="1" x14ac:dyDescent="0.3">
      <c r="A62" s="16"/>
      <c r="B62" s="16"/>
      <c r="C62" s="16"/>
      <c r="D62" s="16"/>
      <c r="E62" s="16"/>
      <c r="F62" s="16"/>
      <c r="G62" s="16"/>
      <c r="H62" s="17"/>
    </row>
    <row r="63" spans="1:8" ht="16.05" customHeight="1" x14ac:dyDescent="0.3">
      <c r="A63" s="16"/>
      <c r="B63" s="16"/>
      <c r="C63" s="16"/>
      <c r="D63" s="16"/>
      <c r="E63" s="16"/>
      <c r="F63" s="16"/>
      <c r="G63" s="16"/>
      <c r="H63" s="17"/>
    </row>
    <row r="64" spans="1:8" ht="16.05" customHeight="1" x14ac:dyDescent="0.3">
      <c r="A64" s="16"/>
      <c r="B64" s="16"/>
      <c r="C64" s="16"/>
      <c r="D64" s="16"/>
      <c r="E64" s="16"/>
      <c r="F64" s="16"/>
      <c r="G64" s="16"/>
      <c r="H64" s="17"/>
    </row>
    <row r="65" spans="1:8" ht="16.05" customHeight="1" x14ac:dyDescent="0.3">
      <c r="A65" s="16"/>
      <c r="B65" s="16"/>
      <c r="C65" s="16"/>
      <c r="D65" s="16"/>
      <c r="E65" s="16"/>
      <c r="F65" s="16"/>
      <c r="G65" s="16"/>
      <c r="H65" s="17"/>
    </row>
    <row r="66" spans="1:8" ht="16.05" customHeight="1" x14ac:dyDescent="0.3">
      <c r="A66" s="16"/>
      <c r="B66" s="16"/>
      <c r="C66" s="16"/>
      <c r="D66" s="16"/>
      <c r="E66" s="16"/>
      <c r="F66" s="16"/>
      <c r="G66" s="16"/>
      <c r="H66" s="17"/>
    </row>
    <row r="67" spans="1:8" ht="16.05" customHeight="1" x14ac:dyDescent="0.3">
      <c r="A67" s="16"/>
      <c r="B67" s="16"/>
      <c r="C67" s="16"/>
      <c r="D67" s="16"/>
      <c r="E67" s="16"/>
      <c r="F67" s="16"/>
      <c r="G67" s="16"/>
      <c r="H67" s="17"/>
    </row>
    <row r="68" spans="1:8" ht="16.05" customHeight="1" x14ac:dyDescent="0.3">
      <c r="A68" s="16"/>
      <c r="B68" s="16"/>
      <c r="C68" s="16"/>
      <c r="D68" s="16"/>
      <c r="E68" s="16"/>
      <c r="F68" s="16"/>
      <c r="G68" s="16"/>
      <c r="H68" s="17"/>
    </row>
    <row r="69" spans="1:8" ht="16.05" customHeight="1" x14ac:dyDescent="0.3">
      <c r="A69" s="16"/>
      <c r="B69" s="16"/>
      <c r="C69" s="16"/>
      <c r="D69" s="16"/>
      <c r="E69" s="16"/>
      <c r="F69" s="16"/>
      <c r="G69" s="16"/>
      <c r="H69" s="17"/>
    </row>
    <row r="70" spans="1:8" ht="16.05" customHeight="1" x14ac:dyDescent="0.3">
      <c r="A70" s="16"/>
      <c r="B70" s="16"/>
      <c r="C70" s="16"/>
      <c r="D70" s="16"/>
      <c r="E70" s="16"/>
      <c r="F70" s="16"/>
      <c r="G70" s="16"/>
      <c r="H70" s="17"/>
    </row>
    <row r="71" spans="1:8" ht="16.05" customHeight="1" x14ac:dyDescent="0.3">
      <c r="A71" s="16"/>
      <c r="B71" s="16"/>
      <c r="C71" s="16"/>
      <c r="D71" s="16"/>
      <c r="E71" s="16"/>
      <c r="F71" s="16"/>
      <c r="G71" s="16"/>
      <c r="H71" s="17"/>
    </row>
    <row r="72" spans="1:8" ht="16.05" customHeight="1" x14ac:dyDescent="0.3">
      <c r="A72" s="16"/>
      <c r="B72" s="16"/>
      <c r="C72" s="16"/>
      <c r="D72" s="16"/>
      <c r="E72" s="16"/>
      <c r="F72" s="16"/>
      <c r="G72" s="16"/>
      <c r="H72" s="17"/>
    </row>
    <row r="73" spans="1:8" ht="16.05" customHeight="1" x14ac:dyDescent="0.3">
      <c r="A73" s="16"/>
      <c r="B73" s="16"/>
      <c r="C73" s="16"/>
      <c r="D73" s="16"/>
      <c r="E73" s="16"/>
      <c r="F73" s="16"/>
      <c r="G73" s="16"/>
      <c r="H73" s="17"/>
    </row>
    <row r="74" spans="1:8" ht="16.05" customHeight="1" x14ac:dyDescent="0.3">
      <c r="A74" s="16"/>
      <c r="B74" s="16"/>
      <c r="C74" s="16"/>
      <c r="D74" s="16"/>
      <c r="E74" s="16"/>
      <c r="F74" s="16"/>
      <c r="G74" s="16"/>
      <c r="H74" s="17"/>
    </row>
    <row r="75" spans="1:8" ht="16.05" customHeight="1" x14ac:dyDescent="0.3">
      <c r="A75" s="16"/>
      <c r="B75" s="16"/>
      <c r="C75" s="16"/>
      <c r="D75" s="16"/>
      <c r="E75" s="16"/>
      <c r="F75" s="16"/>
      <c r="G75" s="16"/>
      <c r="H75" s="17"/>
    </row>
    <row r="76" spans="1:8" ht="16.05" customHeight="1" x14ac:dyDescent="0.3">
      <c r="A76" s="16"/>
      <c r="B76" s="16"/>
      <c r="C76" s="16"/>
      <c r="D76" s="16"/>
      <c r="E76" s="16"/>
      <c r="F76" s="16"/>
      <c r="G76" s="16"/>
      <c r="H76" s="17"/>
    </row>
    <row r="77" spans="1:8" ht="16.05" customHeight="1" x14ac:dyDescent="0.3">
      <c r="A77" s="16"/>
      <c r="B77" s="16"/>
      <c r="C77" s="16"/>
      <c r="D77" s="16"/>
      <c r="E77" s="16"/>
      <c r="F77" s="16"/>
      <c r="G77" s="16"/>
      <c r="H77" s="17"/>
    </row>
    <row r="78" spans="1:8" ht="16.05" customHeight="1" x14ac:dyDescent="0.3">
      <c r="A78" s="16"/>
      <c r="B78" s="16"/>
      <c r="C78" s="16"/>
      <c r="D78" s="16"/>
      <c r="E78" s="16"/>
      <c r="F78" s="16"/>
      <c r="G78" s="16"/>
      <c r="H78" s="17"/>
    </row>
    <row r="79" spans="1:8" ht="16.05" customHeight="1" x14ac:dyDescent="0.3">
      <c r="A79" s="16"/>
      <c r="B79" s="16"/>
      <c r="C79" s="16"/>
      <c r="D79" s="16"/>
      <c r="E79" s="16"/>
      <c r="F79" s="16"/>
      <c r="G79" s="16"/>
      <c r="H79" s="17"/>
    </row>
    <row r="80" spans="1:8" ht="16.05" customHeight="1" x14ac:dyDescent="0.3">
      <c r="A80" s="16"/>
      <c r="B80" s="16"/>
      <c r="C80" s="16"/>
      <c r="D80" s="16"/>
      <c r="E80" s="16"/>
      <c r="F80" s="16"/>
      <c r="G80" s="16"/>
      <c r="H80" s="17"/>
    </row>
    <row r="81" spans="1:8" ht="16.05" customHeight="1" x14ac:dyDescent="0.3">
      <c r="A81" s="16"/>
      <c r="B81" s="16"/>
      <c r="C81" s="16"/>
      <c r="D81" s="16"/>
      <c r="E81" s="16"/>
      <c r="F81" s="16"/>
      <c r="G81" s="16"/>
      <c r="H81" s="17"/>
    </row>
    <row r="82" spans="1:8" ht="16.05" customHeight="1" x14ac:dyDescent="0.3">
      <c r="A82" s="16"/>
      <c r="B82" s="16"/>
      <c r="C82" s="16"/>
      <c r="D82" s="16"/>
      <c r="E82" s="16"/>
      <c r="F82" s="16"/>
      <c r="G82" s="16"/>
      <c r="H82" s="17"/>
    </row>
    <row r="83" spans="1:8" ht="16.05" customHeight="1" x14ac:dyDescent="0.3">
      <c r="A83" s="16"/>
      <c r="B83" s="16"/>
      <c r="C83" s="16"/>
      <c r="D83" s="16"/>
      <c r="E83" s="16"/>
      <c r="F83" s="16"/>
      <c r="G83" s="16"/>
      <c r="H83" s="17"/>
    </row>
    <row r="84" spans="1:8" ht="16.05" customHeight="1" x14ac:dyDescent="0.3">
      <c r="A84" s="16"/>
      <c r="B84" s="16"/>
      <c r="C84" s="16"/>
      <c r="D84" s="16"/>
      <c r="E84" s="16"/>
      <c r="F84" s="16"/>
      <c r="G84" s="16"/>
      <c r="H84" s="17"/>
    </row>
    <row r="85" spans="1:8" ht="16.05" customHeight="1" x14ac:dyDescent="0.3">
      <c r="A85" s="16"/>
      <c r="B85" s="16"/>
      <c r="C85" s="16"/>
      <c r="D85" s="16"/>
      <c r="E85" s="16"/>
      <c r="F85" s="16"/>
      <c r="G85" s="16"/>
      <c r="H85" s="17"/>
    </row>
    <row r="86" spans="1:8" ht="16.05" customHeight="1" x14ac:dyDescent="0.3">
      <c r="A86" s="16"/>
      <c r="B86" s="16"/>
      <c r="C86" s="16"/>
      <c r="D86" s="16"/>
      <c r="E86" s="16"/>
      <c r="F86" s="16"/>
      <c r="G86" s="16"/>
      <c r="H86" s="17"/>
    </row>
    <row r="87" spans="1:8" ht="16.05" customHeight="1" x14ac:dyDescent="0.3">
      <c r="A87" s="16"/>
      <c r="B87" s="16"/>
      <c r="C87" s="16"/>
      <c r="D87" s="16"/>
      <c r="E87" s="16"/>
      <c r="F87" s="16"/>
      <c r="G87" s="16"/>
      <c r="H87" s="17"/>
    </row>
    <row r="88" spans="1:8" ht="16.05" customHeight="1" x14ac:dyDescent="0.3">
      <c r="A88" s="16"/>
      <c r="B88" s="16"/>
      <c r="C88" s="16"/>
      <c r="D88" s="16"/>
      <c r="E88" s="16"/>
      <c r="F88" s="16"/>
      <c r="G88" s="16"/>
      <c r="H88" s="17"/>
    </row>
    <row r="89" spans="1:8" ht="16.05" customHeight="1" x14ac:dyDescent="0.3">
      <c r="A89" s="16"/>
      <c r="B89" s="16"/>
      <c r="C89" s="16"/>
      <c r="D89" s="16"/>
      <c r="E89" s="16"/>
      <c r="F89" s="16"/>
      <c r="G89" s="16"/>
      <c r="H89" s="17"/>
    </row>
    <row r="90" spans="1:8" ht="16.05" customHeight="1" x14ac:dyDescent="0.3">
      <c r="A90" s="16"/>
      <c r="B90" s="16"/>
      <c r="C90" s="16"/>
      <c r="D90" s="16"/>
      <c r="E90" s="16"/>
      <c r="F90" s="16"/>
      <c r="G90" s="16"/>
      <c r="H90" s="17"/>
    </row>
    <row r="91" spans="1:8" ht="16.05" customHeight="1" x14ac:dyDescent="0.3">
      <c r="A91" s="16"/>
      <c r="B91" s="16"/>
      <c r="C91" s="16"/>
      <c r="D91" s="16"/>
      <c r="E91" s="16"/>
      <c r="F91" s="16"/>
      <c r="G91" s="16"/>
      <c r="H91" s="17"/>
    </row>
    <row r="92" spans="1:8" ht="16.05" customHeight="1" x14ac:dyDescent="0.3">
      <c r="A92" s="16"/>
      <c r="B92" s="16"/>
      <c r="C92" s="16"/>
      <c r="D92" s="16"/>
      <c r="E92" s="16"/>
      <c r="F92" s="16"/>
      <c r="G92" s="16"/>
      <c r="H92" s="17"/>
    </row>
    <row r="93" spans="1:8" ht="16.05" customHeight="1" x14ac:dyDescent="0.3">
      <c r="A93" s="16"/>
      <c r="B93" s="16"/>
      <c r="C93" s="16"/>
      <c r="D93" s="16"/>
      <c r="E93" s="16"/>
      <c r="F93" s="16"/>
      <c r="G93" s="16"/>
      <c r="H93" s="17"/>
    </row>
    <row r="94" spans="1:8" ht="16.05" customHeight="1" x14ac:dyDescent="0.3">
      <c r="A94" s="16"/>
      <c r="B94" s="16"/>
      <c r="C94" s="16"/>
      <c r="D94" s="16"/>
      <c r="E94" s="16"/>
      <c r="F94" s="16"/>
      <c r="G94" s="16"/>
      <c r="H94" s="17"/>
    </row>
    <row r="95" spans="1:8" ht="16.05" customHeight="1" x14ac:dyDescent="0.3">
      <c r="A95" s="16"/>
      <c r="B95" s="16"/>
      <c r="C95" s="16"/>
      <c r="D95" s="16"/>
      <c r="E95" s="16"/>
      <c r="F95" s="16"/>
      <c r="G95" s="16"/>
      <c r="H95" s="17"/>
    </row>
    <row r="96" spans="1:8" ht="16.05" customHeight="1" x14ac:dyDescent="0.3">
      <c r="A96" s="16"/>
      <c r="B96" s="16"/>
      <c r="C96" s="16"/>
      <c r="D96" s="16"/>
      <c r="E96" s="16"/>
      <c r="F96" s="16"/>
      <c r="G96" s="16"/>
      <c r="H96" s="17"/>
    </row>
    <row r="97" spans="1:8" ht="16.05" customHeight="1" x14ac:dyDescent="0.3">
      <c r="A97" s="16"/>
      <c r="B97" s="16"/>
      <c r="C97" s="16"/>
      <c r="D97" s="16"/>
      <c r="E97" s="16"/>
      <c r="F97" s="16"/>
      <c r="G97" s="16"/>
      <c r="H97" s="17"/>
    </row>
    <row r="98" spans="1:8" ht="16.05" customHeight="1" x14ac:dyDescent="0.3">
      <c r="A98" s="16"/>
      <c r="B98" s="16"/>
      <c r="C98" s="16"/>
      <c r="D98" s="16"/>
      <c r="E98" s="16"/>
      <c r="F98" s="16"/>
      <c r="G98" s="16"/>
      <c r="H98" s="17"/>
    </row>
    <row r="99" spans="1:8" ht="16.05" customHeight="1" x14ac:dyDescent="0.3">
      <c r="A99" s="16"/>
      <c r="B99" s="16"/>
      <c r="C99" s="16"/>
      <c r="D99" s="16"/>
      <c r="E99" s="16"/>
      <c r="F99" s="16"/>
      <c r="G99" s="16"/>
      <c r="H99" s="17"/>
    </row>
    <row r="100" spans="1:8" ht="16.05" customHeight="1" x14ac:dyDescent="0.3">
      <c r="A100" s="16"/>
      <c r="B100" s="16"/>
      <c r="C100" s="16"/>
      <c r="D100" s="16"/>
      <c r="E100" s="16"/>
      <c r="F100" s="16"/>
      <c r="G100" s="16"/>
      <c r="H100" s="17"/>
    </row>
    <row r="101" spans="1:8" ht="16.05" customHeight="1" x14ac:dyDescent="0.3">
      <c r="A101" s="16"/>
      <c r="B101" s="16"/>
      <c r="C101" s="16"/>
      <c r="D101" s="16"/>
      <c r="E101" s="16"/>
      <c r="F101" s="16"/>
      <c r="G101" s="16"/>
      <c r="H101" s="17"/>
    </row>
    <row r="102" spans="1:8" ht="16.05" customHeight="1" x14ac:dyDescent="0.3">
      <c r="A102" s="16"/>
      <c r="B102" s="16"/>
      <c r="C102" s="16"/>
      <c r="D102" s="16"/>
      <c r="E102" s="16"/>
      <c r="F102" s="16"/>
      <c r="G102" s="16"/>
      <c r="H102" s="17"/>
    </row>
    <row r="103" spans="1:8" ht="16.05" customHeight="1" x14ac:dyDescent="0.3">
      <c r="A103" s="16"/>
      <c r="B103" s="16"/>
      <c r="C103" s="16"/>
      <c r="D103" s="16"/>
      <c r="E103" s="16"/>
      <c r="F103" s="16"/>
      <c r="G103" s="16"/>
      <c r="H103" s="17"/>
    </row>
    <row r="104" spans="1:8" ht="16.05" customHeight="1" x14ac:dyDescent="0.3">
      <c r="A104" s="16"/>
      <c r="B104" s="16"/>
      <c r="C104" s="16"/>
      <c r="D104" s="16"/>
      <c r="E104" s="16"/>
      <c r="F104" s="16"/>
      <c r="G104" s="16"/>
      <c r="H104" s="17"/>
    </row>
    <row r="105" spans="1:8" ht="16.05" customHeight="1" x14ac:dyDescent="0.3">
      <c r="A105" s="16"/>
      <c r="B105" s="16"/>
      <c r="C105" s="16"/>
      <c r="D105" s="16"/>
      <c r="E105" s="16"/>
      <c r="F105" s="16"/>
      <c r="G105" s="16"/>
      <c r="H105" s="17"/>
    </row>
    <row r="106" spans="1:8" ht="16.05" customHeight="1" x14ac:dyDescent="0.3">
      <c r="A106" s="16"/>
      <c r="B106" s="16"/>
      <c r="C106" s="16"/>
      <c r="D106" s="16"/>
      <c r="E106" s="16"/>
      <c r="F106" s="16"/>
      <c r="G106" s="16"/>
      <c r="H106" s="17"/>
    </row>
    <row r="107" spans="1:8" ht="16.05" customHeight="1" x14ac:dyDescent="0.3">
      <c r="A107" s="16"/>
      <c r="B107" s="16"/>
      <c r="C107" s="16"/>
      <c r="D107" s="16"/>
      <c r="E107" s="16"/>
      <c r="F107" s="16"/>
      <c r="G107" s="16"/>
      <c r="H107" s="17"/>
    </row>
    <row r="108" spans="1:8" ht="16.05" customHeight="1" x14ac:dyDescent="0.3">
      <c r="A108" s="16"/>
      <c r="B108" s="16"/>
      <c r="C108" s="16"/>
      <c r="D108" s="16"/>
      <c r="E108" s="16"/>
      <c r="F108" s="16"/>
      <c r="G108" s="16"/>
      <c r="H108" s="17"/>
    </row>
    <row r="109" spans="1:8" ht="16.05" customHeight="1" x14ac:dyDescent="0.3">
      <c r="A109" s="16"/>
      <c r="B109" s="16"/>
      <c r="C109" s="16"/>
      <c r="D109" s="16"/>
      <c r="E109" s="16"/>
      <c r="F109" s="16"/>
      <c r="G109" s="16"/>
      <c r="H109" s="17"/>
    </row>
    <row r="110" spans="1:8" ht="16.05" customHeight="1" x14ac:dyDescent="0.3">
      <c r="A110" s="16"/>
      <c r="B110" s="16"/>
      <c r="C110" s="16"/>
      <c r="D110" s="16"/>
      <c r="E110" s="16"/>
      <c r="F110" s="16"/>
      <c r="G110" s="16"/>
      <c r="H110" s="17"/>
    </row>
    <row r="111" spans="1:8" ht="16.05" customHeight="1" x14ac:dyDescent="0.3">
      <c r="A111" s="16"/>
      <c r="B111" s="16"/>
      <c r="C111" s="16"/>
      <c r="D111" s="16"/>
      <c r="E111" s="16"/>
      <c r="F111" s="16"/>
      <c r="G111" s="16"/>
      <c r="H111" s="17"/>
    </row>
    <row r="112" spans="1:8" ht="16.05" customHeight="1" x14ac:dyDescent="0.3">
      <c r="A112" s="16"/>
      <c r="B112" s="16"/>
      <c r="C112" s="16"/>
      <c r="D112" s="16"/>
      <c r="E112" s="16"/>
      <c r="F112" s="16"/>
      <c r="G112" s="16"/>
      <c r="H112" s="17"/>
    </row>
    <row r="113" spans="1:8" ht="16.05" customHeight="1" x14ac:dyDescent="0.3">
      <c r="A113" s="16"/>
      <c r="B113" s="16"/>
      <c r="C113" s="16"/>
      <c r="D113" s="16"/>
      <c r="E113" s="16"/>
      <c r="F113" s="16"/>
      <c r="G113" s="16"/>
      <c r="H113" s="17"/>
    </row>
    <row r="114" spans="1:8" ht="16.05" customHeight="1" x14ac:dyDescent="0.3">
      <c r="A114" s="16"/>
      <c r="B114" s="16"/>
      <c r="C114" s="16"/>
      <c r="D114" s="16"/>
      <c r="E114" s="16"/>
      <c r="F114" s="16"/>
      <c r="G114" s="16"/>
      <c r="H114" s="17"/>
    </row>
    <row r="115" spans="1:8" ht="16.05" customHeight="1" x14ac:dyDescent="0.3">
      <c r="A115" s="16"/>
      <c r="B115" s="16"/>
      <c r="C115" s="16"/>
      <c r="D115" s="16"/>
      <c r="E115" s="16"/>
      <c r="F115" s="16"/>
      <c r="G115" s="16"/>
      <c r="H115" s="17"/>
    </row>
    <row r="116" spans="1:8" ht="16.05" customHeight="1" x14ac:dyDescent="0.3">
      <c r="A116" s="16"/>
      <c r="B116" s="16"/>
      <c r="C116" s="16"/>
      <c r="D116" s="16"/>
      <c r="E116" s="16"/>
      <c r="F116" s="16"/>
      <c r="G116" s="16"/>
      <c r="H116" s="17"/>
    </row>
    <row r="117" spans="1:8" ht="16.05" customHeight="1" x14ac:dyDescent="0.3">
      <c r="A117" s="16"/>
      <c r="B117" s="16"/>
      <c r="C117" s="16"/>
      <c r="D117" s="16"/>
      <c r="E117" s="16"/>
      <c r="F117" s="16"/>
      <c r="G117" s="16"/>
      <c r="H117" s="17"/>
    </row>
    <row r="118" spans="1:8" ht="16.05" customHeight="1" x14ac:dyDescent="0.3">
      <c r="A118" s="16"/>
      <c r="B118" s="16"/>
      <c r="C118" s="16"/>
      <c r="D118" s="16"/>
      <c r="E118" s="16"/>
      <c r="F118" s="16"/>
      <c r="G118" s="16"/>
      <c r="H118" s="17"/>
    </row>
    <row r="119" spans="1:8" ht="16.05" customHeight="1" x14ac:dyDescent="0.3">
      <c r="A119" s="16"/>
      <c r="B119" s="16"/>
      <c r="C119" s="16"/>
      <c r="D119" s="16"/>
      <c r="E119" s="16"/>
      <c r="F119" s="16"/>
      <c r="G119" s="16"/>
      <c r="H119" s="17"/>
    </row>
    <row r="120" spans="1:8" ht="16.05" customHeight="1" x14ac:dyDescent="0.3">
      <c r="A120" s="16"/>
      <c r="B120" s="16"/>
      <c r="C120" s="16"/>
      <c r="D120" s="16"/>
      <c r="E120" s="16"/>
      <c r="F120" s="16"/>
      <c r="G120" s="16"/>
      <c r="H120" s="17"/>
    </row>
    <row r="121" spans="1:8" ht="16.05" customHeight="1" x14ac:dyDescent="0.3">
      <c r="A121" s="16"/>
      <c r="B121" s="16"/>
      <c r="C121" s="16"/>
      <c r="D121" s="16"/>
      <c r="E121" s="16"/>
      <c r="F121" s="16"/>
      <c r="G121" s="16"/>
      <c r="H121" s="17"/>
    </row>
    <row r="122" spans="1:8" ht="16.05" customHeight="1" x14ac:dyDescent="0.3">
      <c r="A122" s="16"/>
      <c r="B122" s="16"/>
      <c r="C122" s="16"/>
      <c r="D122" s="16"/>
      <c r="E122" s="16"/>
      <c r="F122" s="16"/>
      <c r="G122" s="16"/>
      <c r="H122" s="17"/>
    </row>
    <row r="123" spans="1:8" ht="16.05" customHeight="1" x14ac:dyDescent="0.3">
      <c r="A123" s="16"/>
      <c r="B123" s="16"/>
      <c r="C123" s="16"/>
      <c r="D123" s="16"/>
      <c r="E123" s="16"/>
      <c r="F123" s="16"/>
      <c r="G123" s="16"/>
      <c r="H123" s="17"/>
    </row>
    <row r="124" spans="1:8" ht="16.05" customHeight="1" x14ac:dyDescent="0.3">
      <c r="A124" s="16"/>
      <c r="B124" s="16"/>
      <c r="C124" s="16"/>
      <c r="D124" s="16"/>
      <c r="E124" s="16"/>
      <c r="F124" s="16"/>
      <c r="G124" s="16"/>
      <c r="H124" s="17"/>
    </row>
    <row r="125" spans="1:8" ht="16.05" customHeight="1" x14ac:dyDescent="0.3">
      <c r="A125" s="16"/>
      <c r="B125" s="16"/>
      <c r="C125" s="16"/>
      <c r="D125" s="16"/>
      <c r="E125" s="16"/>
      <c r="F125" s="16"/>
      <c r="G125" s="16"/>
      <c r="H125" s="17"/>
    </row>
    <row r="126" spans="1:8" ht="16.05" customHeight="1" x14ac:dyDescent="0.3">
      <c r="A126" s="16"/>
      <c r="B126" s="16"/>
      <c r="C126" s="16"/>
      <c r="D126" s="16"/>
      <c r="E126" s="16"/>
      <c r="F126" s="16"/>
      <c r="G126" s="16"/>
      <c r="H126" s="17"/>
    </row>
    <row r="127" spans="1:8" ht="16.05" customHeight="1" x14ac:dyDescent="0.3">
      <c r="A127" s="16"/>
      <c r="B127" s="16"/>
      <c r="C127" s="16"/>
      <c r="D127" s="16"/>
      <c r="E127" s="16"/>
      <c r="F127" s="16"/>
      <c r="G127" s="16"/>
      <c r="H127" s="17"/>
    </row>
    <row r="128" spans="1:8" ht="16.05" customHeight="1" x14ac:dyDescent="0.3">
      <c r="A128" s="16"/>
      <c r="B128" s="16"/>
      <c r="C128" s="16"/>
      <c r="D128" s="16"/>
      <c r="E128" s="16"/>
      <c r="F128" s="16"/>
      <c r="G128" s="16"/>
      <c r="H128" s="17"/>
    </row>
    <row r="129" spans="1:8" ht="16.05" customHeight="1" x14ac:dyDescent="0.3">
      <c r="A129" s="16"/>
      <c r="B129" s="16"/>
      <c r="C129" s="16"/>
      <c r="D129" s="16"/>
      <c r="E129" s="16"/>
      <c r="F129" s="16"/>
      <c r="G129" s="16"/>
      <c r="H129" s="17"/>
    </row>
    <row r="130" spans="1:8" ht="16.05" customHeight="1" x14ac:dyDescent="0.3">
      <c r="A130" s="16"/>
      <c r="B130" s="16"/>
      <c r="C130" s="16"/>
      <c r="D130" s="16"/>
      <c r="E130" s="16"/>
      <c r="F130" s="16"/>
      <c r="G130" s="16"/>
      <c r="H130" s="17"/>
    </row>
    <row r="131" spans="1:8" ht="16.05" customHeight="1" x14ac:dyDescent="0.3">
      <c r="A131" s="16"/>
      <c r="B131" s="16"/>
      <c r="C131" s="16"/>
      <c r="D131" s="16"/>
      <c r="E131" s="16"/>
      <c r="F131" s="16"/>
      <c r="G131" s="16"/>
      <c r="H131" s="17"/>
    </row>
    <row r="132" spans="1:8" ht="16.05" customHeight="1" x14ac:dyDescent="0.3">
      <c r="A132" s="16"/>
      <c r="B132" s="16"/>
      <c r="C132" s="16"/>
      <c r="D132" s="16"/>
      <c r="E132" s="16"/>
      <c r="F132" s="16"/>
      <c r="G132" s="16"/>
      <c r="H132" s="17"/>
    </row>
    <row r="133" spans="1:8" ht="16.05" customHeight="1" x14ac:dyDescent="0.3">
      <c r="A133" s="16"/>
      <c r="B133" s="16"/>
      <c r="C133" s="16"/>
      <c r="D133" s="16"/>
      <c r="E133" s="16"/>
      <c r="F133" s="16"/>
      <c r="G133" s="16"/>
      <c r="H133" s="17"/>
    </row>
    <row r="134" spans="1:8" ht="16.05" customHeight="1" x14ac:dyDescent="0.3">
      <c r="A134" s="16"/>
      <c r="B134" s="16"/>
      <c r="C134" s="16"/>
      <c r="D134" s="16"/>
      <c r="E134" s="16"/>
      <c r="F134" s="16"/>
      <c r="G134" s="16"/>
      <c r="H134" s="17"/>
    </row>
    <row r="135" spans="1:8" ht="16.05" customHeight="1" x14ac:dyDescent="0.3">
      <c r="A135" s="16"/>
      <c r="B135" s="16"/>
      <c r="C135" s="16"/>
      <c r="D135" s="16"/>
      <c r="E135" s="16"/>
      <c r="F135" s="16"/>
      <c r="G135" s="16"/>
      <c r="H135" s="17"/>
    </row>
    <row r="136" spans="1:8" ht="16.05" customHeight="1" x14ac:dyDescent="0.3">
      <c r="A136" s="16"/>
      <c r="B136" s="16"/>
      <c r="C136" s="16"/>
      <c r="D136" s="16"/>
      <c r="E136" s="16"/>
      <c r="F136" s="16"/>
      <c r="G136" s="16"/>
      <c r="H136" s="17"/>
    </row>
    <row r="137" spans="1:8" ht="16.05" customHeight="1" x14ac:dyDescent="0.3">
      <c r="A137" s="16"/>
      <c r="B137" s="16"/>
      <c r="C137" s="16"/>
      <c r="D137" s="16"/>
      <c r="E137" s="16"/>
      <c r="F137" s="16"/>
      <c r="G137" s="16"/>
      <c r="H137" s="17"/>
    </row>
    <row r="138" spans="1:8" ht="16.05" customHeight="1" x14ac:dyDescent="0.3">
      <c r="A138" s="16"/>
      <c r="B138" s="16"/>
      <c r="C138" s="16"/>
      <c r="D138" s="16"/>
      <c r="E138" s="16"/>
      <c r="F138" s="16"/>
      <c r="G138" s="16"/>
      <c r="H138" s="17"/>
    </row>
    <row r="139" spans="1:8" ht="16.05" customHeight="1" x14ac:dyDescent="0.3">
      <c r="A139" s="16"/>
      <c r="B139" s="16"/>
      <c r="C139" s="16"/>
      <c r="D139" s="16"/>
      <c r="E139" s="16"/>
      <c r="F139" s="16"/>
      <c r="G139" s="16"/>
      <c r="H139" s="17"/>
    </row>
    <row r="140" spans="1:8" ht="16.05" customHeight="1" x14ac:dyDescent="0.3">
      <c r="A140" s="16"/>
      <c r="B140" s="16"/>
      <c r="C140" s="16"/>
      <c r="D140" s="16"/>
      <c r="E140" s="16"/>
      <c r="F140" s="16"/>
      <c r="G140" s="16"/>
      <c r="H140" s="17"/>
    </row>
    <row r="141" spans="1:8" ht="16.05" customHeight="1" x14ac:dyDescent="0.3">
      <c r="A141" s="16"/>
      <c r="B141" s="16"/>
      <c r="C141" s="16"/>
      <c r="D141" s="16"/>
      <c r="E141" s="16"/>
      <c r="F141" s="16"/>
      <c r="G141" s="16"/>
      <c r="H141" s="17"/>
    </row>
    <row r="142" spans="1:8" ht="16.05" customHeight="1" x14ac:dyDescent="0.3">
      <c r="A142" s="16"/>
      <c r="B142" s="16"/>
      <c r="C142" s="16"/>
      <c r="D142" s="16"/>
      <c r="E142" s="16"/>
      <c r="F142" s="16"/>
      <c r="G142" s="16"/>
      <c r="H142" s="17"/>
    </row>
    <row r="143" spans="1:8" ht="16.05" customHeight="1" x14ac:dyDescent="0.3">
      <c r="A143" s="16"/>
      <c r="B143" s="16"/>
      <c r="C143" s="16"/>
      <c r="D143" s="16"/>
      <c r="E143" s="16"/>
      <c r="F143" s="16"/>
      <c r="G143" s="16"/>
      <c r="H143" s="17"/>
    </row>
    <row r="144" spans="1:8" ht="16.05" customHeight="1" x14ac:dyDescent="0.3">
      <c r="A144" s="16"/>
      <c r="B144" s="16"/>
      <c r="C144" s="16"/>
      <c r="D144" s="16"/>
      <c r="E144" s="16"/>
      <c r="F144" s="16"/>
      <c r="G144" s="16"/>
      <c r="H144" s="17"/>
    </row>
    <row r="145" spans="1:8" ht="16.05" customHeight="1" x14ac:dyDescent="0.3">
      <c r="A145" s="16"/>
      <c r="B145" s="16"/>
      <c r="C145" s="16"/>
      <c r="D145" s="16"/>
      <c r="E145" s="16"/>
      <c r="F145" s="16"/>
      <c r="G145" s="16"/>
      <c r="H145" s="17"/>
    </row>
    <row r="146" spans="1:8" ht="16.05" customHeight="1" x14ac:dyDescent="0.3">
      <c r="A146" s="16"/>
      <c r="B146" s="16"/>
      <c r="C146" s="16"/>
      <c r="D146" s="16"/>
      <c r="E146" s="16"/>
      <c r="F146" s="16"/>
      <c r="G146" s="16"/>
      <c r="H146" s="17"/>
    </row>
    <row r="147" spans="1:8" ht="16.05" customHeight="1" x14ac:dyDescent="0.3">
      <c r="A147" s="16"/>
      <c r="B147" s="16"/>
      <c r="C147" s="16"/>
      <c r="D147" s="16"/>
      <c r="E147" s="16"/>
      <c r="F147" s="16"/>
      <c r="G147" s="16"/>
      <c r="H147" s="17"/>
    </row>
    <row r="148" spans="1:8" ht="16.05" customHeight="1" x14ac:dyDescent="0.3">
      <c r="A148" s="16"/>
      <c r="B148" s="16"/>
      <c r="C148" s="16"/>
      <c r="D148" s="16"/>
      <c r="E148" s="16"/>
      <c r="F148" s="16"/>
      <c r="G148" s="16"/>
      <c r="H148" s="17"/>
    </row>
    <row r="149" spans="1:8" ht="16.05" customHeight="1" x14ac:dyDescent="0.3">
      <c r="A149" s="16"/>
      <c r="B149" s="16"/>
      <c r="C149" s="16"/>
      <c r="D149" s="16"/>
      <c r="E149" s="16"/>
      <c r="F149" s="16"/>
      <c r="G149" s="16"/>
      <c r="H149" s="17"/>
    </row>
    <row r="150" spans="1:8" ht="16.05" customHeight="1" x14ac:dyDescent="0.3">
      <c r="A150" s="16"/>
      <c r="B150" s="16"/>
      <c r="C150" s="16"/>
      <c r="D150" s="16"/>
      <c r="E150" s="16"/>
      <c r="F150" s="16"/>
      <c r="G150" s="16"/>
      <c r="H150" s="17"/>
    </row>
    <row r="151" spans="1:8" ht="16.05" customHeight="1" x14ac:dyDescent="0.3">
      <c r="A151" s="16"/>
      <c r="B151" s="16"/>
      <c r="C151" s="16"/>
      <c r="D151" s="16"/>
      <c r="E151" s="16"/>
      <c r="F151" s="16"/>
      <c r="G151" s="16"/>
      <c r="H151" s="17"/>
    </row>
    <row r="152" spans="1:8" ht="16.05" customHeight="1" x14ac:dyDescent="0.3">
      <c r="A152" s="16"/>
      <c r="B152" s="16"/>
      <c r="C152" s="16"/>
      <c r="D152" s="16"/>
      <c r="E152" s="16"/>
      <c r="F152" s="16"/>
      <c r="G152" s="16"/>
      <c r="H152" s="17"/>
    </row>
    <row r="153" spans="1:8" ht="16.05" customHeight="1" x14ac:dyDescent="0.3">
      <c r="A153" s="16"/>
      <c r="B153" s="16"/>
      <c r="C153" s="16"/>
      <c r="D153" s="16"/>
      <c r="E153" s="16"/>
      <c r="F153" s="16"/>
      <c r="G153" s="16"/>
      <c r="H153" s="17"/>
    </row>
    <row r="154" spans="1:8" ht="16.05" customHeight="1" x14ac:dyDescent="0.3">
      <c r="A154" s="16"/>
      <c r="B154" s="16"/>
      <c r="C154" s="16"/>
      <c r="D154" s="16"/>
      <c r="E154" s="16"/>
      <c r="F154" s="16"/>
      <c r="G154" s="16"/>
      <c r="H154" s="17"/>
    </row>
    <row r="155" spans="1:8" ht="16.05" customHeight="1" x14ac:dyDescent="0.3">
      <c r="A155" s="16"/>
      <c r="B155" s="16"/>
      <c r="C155" s="16"/>
      <c r="D155" s="16"/>
      <c r="E155" s="16"/>
      <c r="F155" s="16"/>
      <c r="G155" s="16"/>
      <c r="H155" s="17"/>
    </row>
    <row r="156" spans="1:8" ht="16.05" customHeight="1" x14ac:dyDescent="0.3">
      <c r="A156" s="16"/>
      <c r="B156" s="16"/>
      <c r="C156" s="16"/>
      <c r="D156" s="16"/>
      <c r="E156" s="16"/>
      <c r="F156" s="16"/>
      <c r="G156" s="16"/>
      <c r="H156" s="17"/>
    </row>
    <row r="157" spans="1:8" ht="16.05" customHeight="1" x14ac:dyDescent="0.3">
      <c r="A157" s="16"/>
      <c r="B157" s="16"/>
      <c r="C157" s="16"/>
      <c r="D157" s="16"/>
      <c r="E157" s="16"/>
      <c r="F157" s="16"/>
      <c r="G157" s="16"/>
      <c r="H157" s="17"/>
    </row>
    <row r="158" spans="1:8" ht="16.05" customHeight="1" x14ac:dyDescent="0.3">
      <c r="A158" s="16"/>
      <c r="B158" s="16"/>
      <c r="C158" s="16"/>
      <c r="D158" s="16"/>
      <c r="E158" s="16"/>
      <c r="F158" s="16"/>
      <c r="G158" s="16"/>
      <c r="H158" s="17"/>
    </row>
    <row r="159" spans="1:8" ht="16.05" customHeight="1" x14ac:dyDescent="0.3">
      <c r="A159" s="16"/>
      <c r="B159" s="16"/>
      <c r="C159" s="16"/>
      <c r="D159" s="16"/>
      <c r="E159" s="16"/>
      <c r="F159" s="16"/>
      <c r="G159" s="16"/>
      <c r="H159" s="17"/>
    </row>
    <row r="160" spans="1:8" ht="16.05" customHeight="1" x14ac:dyDescent="0.3">
      <c r="A160" s="16"/>
      <c r="B160" s="16"/>
      <c r="C160" s="16"/>
      <c r="D160" s="16"/>
      <c r="E160" s="16"/>
      <c r="F160" s="16"/>
      <c r="G160" s="16"/>
      <c r="H160" s="17"/>
    </row>
    <row r="161" spans="1:8" ht="16.05" customHeight="1" x14ac:dyDescent="0.3">
      <c r="A161" s="16"/>
      <c r="B161" s="16"/>
      <c r="C161" s="16"/>
      <c r="D161" s="16"/>
      <c r="E161" s="16"/>
      <c r="F161" s="16"/>
      <c r="G161" s="16"/>
      <c r="H161" s="17"/>
    </row>
    <row r="162" spans="1:8" ht="16.05" customHeight="1" x14ac:dyDescent="0.3">
      <c r="A162" s="16"/>
      <c r="B162" s="16"/>
      <c r="C162" s="16"/>
      <c r="D162" s="16"/>
      <c r="E162" s="16"/>
      <c r="F162" s="16"/>
      <c r="G162" s="16"/>
      <c r="H162" s="17"/>
    </row>
    <row r="163" spans="1:8" ht="16.05" customHeight="1" x14ac:dyDescent="0.3">
      <c r="A163" s="16"/>
      <c r="B163" s="16"/>
      <c r="C163" s="16"/>
      <c r="D163" s="16"/>
      <c r="E163" s="16"/>
      <c r="F163" s="16"/>
      <c r="G163" s="16"/>
      <c r="H163" s="17"/>
    </row>
    <row r="164" spans="1:8" ht="16.05" customHeight="1" x14ac:dyDescent="0.3">
      <c r="A164" s="16"/>
      <c r="B164" s="16"/>
      <c r="C164" s="16"/>
      <c r="D164" s="16"/>
      <c r="E164" s="16"/>
      <c r="F164" s="16"/>
      <c r="G164" s="16"/>
      <c r="H164" s="17"/>
    </row>
    <row r="165" spans="1:8" ht="16.05" customHeight="1" x14ac:dyDescent="0.3">
      <c r="A165" s="16"/>
      <c r="B165" s="16"/>
      <c r="C165" s="16"/>
      <c r="D165" s="16"/>
      <c r="E165" s="16"/>
      <c r="F165" s="16"/>
      <c r="G165" s="16"/>
      <c r="H165" s="17"/>
    </row>
    <row r="166" spans="1:8" ht="16.05" customHeight="1" x14ac:dyDescent="0.3">
      <c r="A166" s="16"/>
      <c r="B166" s="16"/>
      <c r="C166" s="16"/>
      <c r="D166" s="16"/>
      <c r="E166" s="16"/>
      <c r="F166" s="16"/>
      <c r="G166" s="16"/>
      <c r="H166" s="17"/>
    </row>
    <row r="167" spans="1:8" ht="16.05" customHeight="1" x14ac:dyDescent="0.3">
      <c r="A167" s="16"/>
      <c r="B167" s="16"/>
      <c r="C167" s="16"/>
      <c r="D167" s="16"/>
      <c r="E167" s="16"/>
      <c r="F167" s="16"/>
      <c r="G167" s="16"/>
      <c r="H167" s="17"/>
    </row>
    <row r="168" spans="1:8" ht="16.05" customHeight="1" x14ac:dyDescent="0.3">
      <c r="A168" s="16"/>
      <c r="B168" s="16"/>
      <c r="C168" s="16"/>
      <c r="D168" s="16"/>
      <c r="E168" s="16"/>
      <c r="F168" s="16"/>
      <c r="G168" s="16"/>
      <c r="H168" s="17"/>
    </row>
    <row r="169" spans="1:8" ht="16.05" customHeight="1" x14ac:dyDescent="0.3">
      <c r="A169" s="16"/>
      <c r="B169" s="16"/>
      <c r="C169" s="16"/>
      <c r="D169" s="16"/>
      <c r="E169" s="16"/>
      <c r="F169" s="16"/>
      <c r="G169" s="16"/>
      <c r="H169" s="17"/>
    </row>
    <row r="170" spans="1:8" ht="16.05" customHeight="1" x14ac:dyDescent="0.3">
      <c r="A170" s="16"/>
      <c r="B170" s="16"/>
      <c r="C170" s="16"/>
      <c r="D170" s="16"/>
      <c r="E170" s="16"/>
      <c r="F170" s="16"/>
      <c r="G170" s="16"/>
      <c r="H170" s="17"/>
    </row>
    <row r="171" spans="1:8" ht="16.05" customHeight="1" x14ac:dyDescent="0.3">
      <c r="A171" s="16"/>
      <c r="B171" s="16"/>
      <c r="C171" s="16"/>
      <c r="D171" s="16"/>
      <c r="E171" s="16"/>
      <c r="F171" s="16"/>
      <c r="G171" s="16"/>
      <c r="H171" s="17"/>
    </row>
    <row r="172" spans="1:8" ht="16.05" customHeight="1" x14ac:dyDescent="0.3">
      <c r="A172" s="16"/>
      <c r="B172" s="16"/>
      <c r="C172" s="16"/>
      <c r="D172" s="16"/>
      <c r="E172" s="16"/>
      <c r="F172" s="16"/>
      <c r="G172" s="16"/>
      <c r="H172" s="17"/>
    </row>
    <row r="173" spans="1:8" ht="16.05" customHeight="1" x14ac:dyDescent="0.3">
      <c r="A173" s="16"/>
      <c r="B173" s="16"/>
      <c r="C173" s="16"/>
      <c r="D173" s="16"/>
      <c r="E173" s="16"/>
      <c r="F173" s="16"/>
      <c r="G173" s="16"/>
      <c r="H173" s="17"/>
    </row>
    <row r="174" spans="1:8" ht="16.05" customHeight="1" x14ac:dyDescent="0.3">
      <c r="A174" s="16"/>
      <c r="B174" s="16"/>
      <c r="C174" s="16"/>
      <c r="D174" s="16"/>
      <c r="E174" s="16"/>
      <c r="F174" s="16"/>
      <c r="G174" s="16"/>
      <c r="H174" s="17"/>
    </row>
    <row r="175" spans="1:8" ht="16.05" customHeight="1" x14ac:dyDescent="0.3">
      <c r="A175" s="16"/>
      <c r="B175" s="16"/>
      <c r="C175" s="16"/>
      <c r="D175" s="16"/>
      <c r="E175" s="16"/>
      <c r="F175" s="16"/>
      <c r="G175" s="16"/>
      <c r="H175" s="17"/>
    </row>
    <row r="176" spans="1:8" ht="16.05" customHeight="1" x14ac:dyDescent="0.3">
      <c r="A176" s="16"/>
      <c r="B176" s="16"/>
      <c r="C176" s="16"/>
      <c r="D176" s="16"/>
      <c r="E176" s="16"/>
      <c r="F176" s="16"/>
      <c r="G176" s="16"/>
      <c r="H176" s="17"/>
    </row>
    <row r="177" spans="1:8" ht="16.05" customHeight="1" x14ac:dyDescent="0.3">
      <c r="A177" s="16"/>
      <c r="B177" s="16"/>
      <c r="C177" s="16"/>
      <c r="D177" s="16"/>
      <c r="E177" s="16"/>
      <c r="F177" s="16"/>
      <c r="G177" s="16"/>
      <c r="H177" s="17"/>
    </row>
    <row r="178" spans="1:8" ht="16.05" customHeight="1" x14ac:dyDescent="0.3">
      <c r="A178" s="16"/>
      <c r="B178" s="16"/>
      <c r="C178" s="16"/>
      <c r="D178" s="16"/>
      <c r="E178" s="16"/>
      <c r="F178" s="16"/>
      <c r="G178" s="16"/>
      <c r="H178" s="17"/>
    </row>
    <row r="179" spans="1:8" ht="16.05" customHeight="1" x14ac:dyDescent="0.3">
      <c r="A179" s="16"/>
      <c r="B179" s="16"/>
      <c r="C179" s="16"/>
      <c r="D179" s="16"/>
      <c r="E179" s="16"/>
      <c r="F179" s="16"/>
      <c r="G179" s="16"/>
      <c r="H179" s="17"/>
    </row>
    <row r="180" spans="1:8" ht="16.05" customHeight="1" x14ac:dyDescent="0.3">
      <c r="A180" s="16"/>
      <c r="B180" s="16"/>
      <c r="C180" s="16"/>
      <c r="D180" s="16"/>
      <c r="E180" s="16"/>
      <c r="F180" s="16"/>
      <c r="G180" s="16"/>
      <c r="H180" s="17"/>
    </row>
    <row r="181" spans="1:8" ht="16.05" customHeight="1" x14ac:dyDescent="0.3">
      <c r="A181" s="16"/>
      <c r="B181" s="16"/>
      <c r="C181" s="16"/>
      <c r="D181" s="16"/>
      <c r="E181" s="16"/>
      <c r="F181" s="16"/>
      <c r="G181" s="16"/>
      <c r="H181" s="17"/>
    </row>
    <row r="182" spans="1:8" ht="16.05" customHeight="1" x14ac:dyDescent="0.3">
      <c r="A182" s="16"/>
      <c r="B182" s="16"/>
      <c r="C182" s="16"/>
      <c r="D182" s="16"/>
      <c r="E182" s="16"/>
      <c r="F182" s="16"/>
      <c r="G182" s="16"/>
      <c r="H182" s="17"/>
    </row>
    <row r="183" spans="1:8" ht="16.05" customHeight="1" x14ac:dyDescent="0.3">
      <c r="A183" s="16"/>
      <c r="B183" s="16"/>
      <c r="C183" s="16"/>
      <c r="D183" s="16"/>
      <c r="E183" s="16"/>
      <c r="F183" s="16"/>
      <c r="G183" s="16"/>
      <c r="H183" s="17"/>
    </row>
    <row r="184" spans="1:8" ht="16.05" customHeight="1" x14ac:dyDescent="0.3">
      <c r="A184" s="16"/>
      <c r="B184" s="16"/>
      <c r="C184" s="16"/>
      <c r="D184" s="16"/>
      <c r="E184" s="16"/>
      <c r="F184" s="16"/>
      <c r="G184" s="16"/>
      <c r="H184" s="17"/>
    </row>
    <row r="185" spans="1:8" ht="16.05" customHeight="1" x14ac:dyDescent="0.3">
      <c r="A185" s="16"/>
      <c r="B185" s="16"/>
      <c r="C185" s="16"/>
      <c r="D185" s="16"/>
      <c r="E185" s="16"/>
      <c r="F185" s="16"/>
      <c r="G185" s="16"/>
      <c r="H185" s="17"/>
    </row>
    <row r="186" spans="1:8" ht="16.05" customHeight="1" x14ac:dyDescent="0.3">
      <c r="A186" s="16"/>
      <c r="B186" s="16"/>
      <c r="C186" s="16"/>
      <c r="D186" s="16"/>
      <c r="E186" s="16"/>
      <c r="F186" s="16"/>
      <c r="G186" s="16"/>
      <c r="H186" s="17"/>
    </row>
    <row r="187" spans="1:8" ht="16.05" customHeight="1" x14ac:dyDescent="0.3">
      <c r="A187" s="16"/>
      <c r="B187" s="16"/>
      <c r="C187" s="16"/>
      <c r="D187" s="16"/>
      <c r="E187" s="16"/>
      <c r="F187" s="16"/>
      <c r="G187" s="16"/>
      <c r="H187" s="17"/>
    </row>
    <row r="188" spans="1:8" ht="16.05" customHeight="1" x14ac:dyDescent="0.3">
      <c r="A188" s="16"/>
      <c r="B188" s="16"/>
      <c r="C188" s="16"/>
      <c r="D188" s="16"/>
      <c r="E188" s="16"/>
      <c r="F188" s="16"/>
      <c r="G188" s="16"/>
      <c r="H188" s="17"/>
    </row>
    <row r="189" spans="1:8" ht="16.05" customHeight="1" x14ac:dyDescent="0.3">
      <c r="A189" s="16"/>
      <c r="B189" s="16"/>
      <c r="C189" s="16"/>
      <c r="D189" s="16"/>
      <c r="E189" s="16"/>
      <c r="F189" s="16"/>
      <c r="G189" s="16"/>
      <c r="H189" s="17"/>
    </row>
    <row r="190" spans="1:8" ht="16.05" customHeight="1" x14ac:dyDescent="0.3">
      <c r="A190" s="16"/>
      <c r="B190" s="16"/>
      <c r="C190" s="16"/>
      <c r="D190" s="16"/>
      <c r="E190" s="16"/>
      <c r="F190" s="16"/>
      <c r="G190" s="16"/>
      <c r="H190" s="17"/>
    </row>
    <row r="191" spans="1:8" ht="16.05" customHeight="1" x14ac:dyDescent="0.3">
      <c r="A191" s="16"/>
      <c r="B191" s="16"/>
      <c r="C191" s="16"/>
      <c r="D191" s="16"/>
      <c r="E191" s="16"/>
      <c r="F191" s="16"/>
      <c r="G191" s="16"/>
      <c r="H191" s="17"/>
    </row>
    <row r="192" spans="1:8" ht="16.05" customHeight="1" x14ac:dyDescent="0.3">
      <c r="A192" s="16"/>
      <c r="B192" s="16"/>
      <c r="C192" s="16"/>
      <c r="D192" s="16"/>
      <c r="E192" s="16"/>
      <c r="F192" s="16"/>
      <c r="G192" s="16"/>
      <c r="H192" s="17"/>
    </row>
    <row r="193" spans="1:8" ht="16.05" customHeight="1" x14ac:dyDescent="0.3">
      <c r="A193" s="16"/>
      <c r="B193" s="16"/>
      <c r="C193" s="16"/>
      <c r="D193" s="16"/>
      <c r="E193" s="16"/>
      <c r="F193" s="16"/>
      <c r="G193" s="16"/>
      <c r="H193" s="17"/>
    </row>
    <row r="194" spans="1:8" ht="16.05" customHeight="1" x14ac:dyDescent="0.3">
      <c r="A194" s="16"/>
      <c r="B194" s="16"/>
      <c r="C194" s="16"/>
      <c r="D194" s="16"/>
      <c r="E194" s="16"/>
      <c r="F194" s="16"/>
      <c r="G194" s="16"/>
      <c r="H194" s="17"/>
    </row>
    <row r="195" spans="1:8" ht="16.05" customHeight="1" x14ac:dyDescent="0.3">
      <c r="A195" s="16"/>
      <c r="B195" s="16"/>
      <c r="C195" s="16"/>
      <c r="D195" s="16"/>
      <c r="E195" s="16"/>
      <c r="F195" s="16"/>
      <c r="G195" s="16"/>
      <c r="H195" s="17"/>
    </row>
    <row r="196" spans="1:8" ht="16.05" customHeight="1" x14ac:dyDescent="0.3">
      <c r="A196" s="16"/>
      <c r="B196" s="16"/>
      <c r="C196" s="16"/>
      <c r="D196" s="16"/>
      <c r="E196" s="16"/>
      <c r="F196" s="16"/>
      <c r="G196" s="16"/>
      <c r="H196" s="17"/>
    </row>
    <row r="197" spans="1:8" ht="16.05" customHeight="1" x14ac:dyDescent="0.3">
      <c r="A197" s="16"/>
      <c r="B197" s="16"/>
      <c r="C197" s="16"/>
      <c r="D197" s="16"/>
      <c r="E197" s="16"/>
      <c r="F197" s="16"/>
      <c r="G197" s="16"/>
      <c r="H197" s="17"/>
    </row>
    <row r="198" spans="1:8" ht="16.05" customHeight="1" x14ac:dyDescent="0.3">
      <c r="A198" s="16"/>
      <c r="B198" s="16"/>
      <c r="C198" s="16"/>
      <c r="D198" s="16"/>
      <c r="E198" s="16"/>
      <c r="F198" s="16"/>
      <c r="G198" s="16"/>
      <c r="H198" s="17"/>
    </row>
    <row r="199" spans="1:8" ht="16.05" customHeight="1" x14ac:dyDescent="0.3">
      <c r="A199" s="16"/>
      <c r="B199" s="16"/>
      <c r="C199" s="16"/>
      <c r="D199" s="16"/>
      <c r="E199" s="16"/>
      <c r="F199" s="16"/>
      <c r="G199" s="16"/>
      <c r="H199" s="17"/>
    </row>
    <row r="200" spans="1:8" ht="16.05" customHeight="1" x14ac:dyDescent="0.3">
      <c r="A200" s="16"/>
      <c r="B200" s="16"/>
      <c r="C200" s="16"/>
      <c r="D200" s="16"/>
      <c r="E200" s="16"/>
      <c r="F200" s="16"/>
      <c r="G200" s="16"/>
      <c r="H200" s="17"/>
    </row>
    <row r="201" spans="1:8" ht="16.05" customHeight="1" x14ac:dyDescent="0.3">
      <c r="A201" s="16"/>
      <c r="B201" s="16"/>
      <c r="C201" s="16"/>
      <c r="D201" s="16"/>
      <c r="E201" s="16"/>
      <c r="F201" s="16"/>
      <c r="G201" s="16"/>
      <c r="H201" s="17"/>
    </row>
    <row r="202" spans="1:8" ht="16.05" customHeight="1" x14ac:dyDescent="0.3">
      <c r="A202" s="16"/>
      <c r="B202" s="16"/>
      <c r="C202" s="16"/>
      <c r="D202" s="16"/>
      <c r="E202" s="16"/>
      <c r="F202" s="16"/>
      <c r="G202" s="16"/>
      <c r="H202" s="17"/>
    </row>
    <row r="203" spans="1:8" ht="16.05" customHeight="1" x14ac:dyDescent="0.3">
      <c r="A203" s="16"/>
      <c r="B203" s="16"/>
      <c r="C203" s="16"/>
      <c r="D203" s="16"/>
      <c r="E203" s="16"/>
      <c r="F203" s="16"/>
      <c r="G203" s="16"/>
      <c r="H203" s="17"/>
    </row>
    <row r="204" spans="1:8" ht="16.05" customHeight="1" x14ac:dyDescent="0.3">
      <c r="A204" s="16"/>
      <c r="B204" s="16"/>
      <c r="C204" s="16"/>
      <c r="D204" s="16"/>
      <c r="E204" s="16"/>
      <c r="F204" s="16"/>
      <c r="G204" s="16"/>
      <c r="H204" s="17"/>
    </row>
    <row r="205" spans="1:8" ht="16.05" customHeight="1" x14ac:dyDescent="0.3">
      <c r="A205" s="16"/>
      <c r="B205" s="16"/>
      <c r="C205" s="16"/>
      <c r="D205" s="16"/>
      <c r="E205" s="16"/>
      <c r="F205" s="16"/>
      <c r="G205" s="16"/>
      <c r="H205" s="17"/>
    </row>
    <row r="206" spans="1:8" ht="16.05" customHeight="1" x14ac:dyDescent="0.3">
      <c r="A206" s="16"/>
      <c r="B206" s="16"/>
      <c r="C206" s="16"/>
      <c r="D206" s="16"/>
      <c r="E206" s="16"/>
      <c r="F206" s="16"/>
      <c r="G206" s="16"/>
      <c r="H206" s="17"/>
    </row>
    <row r="207" spans="1:8" ht="16.05" customHeight="1" x14ac:dyDescent="0.3">
      <c r="A207" s="16"/>
      <c r="B207" s="16"/>
      <c r="C207" s="16"/>
      <c r="D207" s="16"/>
      <c r="E207" s="16"/>
      <c r="F207" s="16"/>
      <c r="G207" s="16"/>
      <c r="H207" s="17"/>
    </row>
    <row r="208" spans="1:8" ht="16.05" customHeight="1" x14ac:dyDescent="0.3">
      <c r="A208" s="16"/>
      <c r="B208" s="16"/>
      <c r="C208" s="16"/>
      <c r="D208" s="16"/>
      <c r="E208" s="16"/>
      <c r="F208" s="16"/>
      <c r="G208" s="16"/>
      <c r="H208" s="17"/>
    </row>
    <row r="209" spans="1:8" ht="16.05" customHeight="1" x14ac:dyDescent="0.3">
      <c r="A209" s="16"/>
      <c r="B209" s="16"/>
      <c r="C209" s="16"/>
      <c r="D209" s="16"/>
      <c r="E209" s="16"/>
      <c r="F209" s="16"/>
      <c r="G209" s="16"/>
      <c r="H209" s="17"/>
    </row>
    <row r="210" spans="1:8" ht="16.05" customHeight="1" x14ac:dyDescent="0.3">
      <c r="A210" s="16"/>
      <c r="B210" s="16"/>
      <c r="C210" s="16"/>
      <c r="D210" s="16"/>
      <c r="E210" s="16"/>
      <c r="F210" s="16"/>
      <c r="G210" s="16"/>
      <c r="H210" s="17"/>
    </row>
    <row r="211" spans="1:8" ht="16.05" customHeight="1" x14ac:dyDescent="0.3">
      <c r="A211" s="16"/>
      <c r="B211" s="16"/>
      <c r="C211" s="16"/>
      <c r="D211" s="16"/>
      <c r="E211" s="16"/>
      <c r="F211" s="16"/>
      <c r="G211" s="16"/>
      <c r="H211" s="17"/>
    </row>
    <row r="212" spans="1:8" ht="16.05" customHeight="1" x14ac:dyDescent="0.3">
      <c r="A212" s="16"/>
      <c r="B212" s="16"/>
      <c r="C212" s="16"/>
      <c r="D212" s="16"/>
      <c r="E212" s="16"/>
      <c r="F212" s="16"/>
      <c r="G212" s="16"/>
      <c r="H212" s="17"/>
    </row>
    <row r="213" spans="1:8" ht="16.05" customHeight="1" x14ac:dyDescent="0.3">
      <c r="A213" s="16"/>
      <c r="B213" s="16"/>
      <c r="C213" s="16"/>
      <c r="D213" s="16"/>
      <c r="E213" s="16"/>
      <c r="F213" s="16"/>
      <c r="G213" s="16"/>
      <c r="H213" s="17"/>
    </row>
    <row r="214" spans="1:8" ht="16.05" customHeight="1" x14ac:dyDescent="0.3">
      <c r="A214" s="16"/>
      <c r="B214" s="16"/>
      <c r="C214" s="16"/>
      <c r="D214" s="16"/>
      <c r="E214" s="16"/>
      <c r="F214" s="16"/>
      <c r="G214" s="16"/>
      <c r="H214" s="17"/>
    </row>
    <row r="215" spans="1:8" ht="16.05" customHeight="1" x14ac:dyDescent="0.3">
      <c r="A215" s="16"/>
      <c r="B215" s="16"/>
      <c r="C215" s="16"/>
      <c r="D215" s="16"/>
      <c r="E215" s="16"/>
      <c r="F215" s="16"/>
      <c r="G215" s="16"/>
      <c r="H215" s="17"/>
    </row>
    <row r="216" spans="1:8" ht="16.05" customHeight="1" x14ac:dyDescent="0.3">
      <c r="A216" s="16"/>
      <c r="B216" s="16"/>
      <c r="C216" s="16"/>
      <c r="D216" s="16"/>
      <c r="E216" s="16"/>
      <c r="F216" s="16"/>
      <c r="G216" s="16"/>
      <c r="H216" s="17"/>
    </row>
    <row r="217" spans="1:8" ht="16.05" customHeight="1" x14ac:dyDescent="0.3">
      <c r="A217" s="16"/>
      <c r="B217" s="16"/>
      <c r="C217" s="16"/>
      <c r="D217" s="16"/>
      <c r="E217" s="16"/>
      <c r="F217" s="16"/>
      <c r="G217" s="16"/>
      <c r="H217" s="17"/>
    </row>
    <row r="218" spans="1:8" ht="16.05" customHeight="1" x14ac:dyDescent="0.3">
      <c r="A218" s="16"/>
      <c r="B218" s="16"/>
      <c r="C218" s="16"/>
      <c r="D218" s="16"/>
      <c r="E218" s="16"/>
      <c r="F218" s="16"/>
      <c r="G218" s="16"/>
      <c r="H218" s="17"/>
    </row>
    <row r="219" spans="1:8" ht="16.05" customHeight="1" x14ac:dyDescent="0.3">
      <c r="A219" s="16"/>
      <c r="B219" s="16"/>
      <c r="C219" s="16"/>
      <c r="D219" s="16"/>
      <c r="E219" s="16"/>
      <c r="F219" s="16"/>
      <c r="G219" s="16"/>
      <c r="H219" s="17"/>
    </row>
    <row r="220" spans="1:8" ht="16.05" customHeight="1" x14ac:dyDescent="0.3">
      <c r="A220" s="16"/>
      <c r="B220" s="16"/>
      <c r="C220" s="16"/>
      <c r="D220" s="16"/>
      <c r="E220" s="16"/>
      <c r="F220" s="16"/>
      <c r="G220" s="16"/>
      <c r="H220" s="17"/>
    </row>
    <row r="221" spans="1:8" ht="16.05" customHeight="1" x14ac:dyDescent="0.3">
      <c r="A221" s="16"/>
      <c r="B221" s="16"/>
      <c r="C221" s="16"/>
      <c r="D221" s="16"/>
      <c r="E221" s="16"/>
      <c r="F221" s="16"/>
      <c r="G221" s="16"/>
      <c r="H221" s="17"/>
    </row>
    <row r="222" spans="1:8" ht="16.05" customHeight="1" x14ac:dyDescent="0.3">
      <c r="A222" s="16"/>
      <c r="B222" s="16"/>
      <c r="C222" s="16"/>
      <c r="D222" s="16"/>
      <c r="E222" s="16"/>
      <c r="F222" s="16"/>
      <c r="G222" s="16"/>
      <c r="H222" s="17"/>
    </row>
    <row r="223" spans="1:8" ht="16.05" customHeight="1" x14ac:dyDescent="0.3">
      <c r="A223" s="16"/>
      <c r="B223" s="16"/>
      <c r="C223" s="16"/>
      <c r="D223" s="16"/>
      <c r="E223" s="16"/>
      <c r="F223" s="16"/>
      <c r="G223" s="16"/>
      <c r="H223" s="17"/>
    </row>
    <row r="224" spans="1:8" ht="16.05" customHeight="1" x14ac:dyDescent="0.3">
      <c r="A224" s="16"/>
      <c r="B224" s="16"/>
      <c r="C224" s="16"/>
      <c r="D224" s="16"/>
      <c r="E224" s="16"/>
      <c r="F224" s="16"/>
      <c r="G224" s="16"/>
      <c r="H224" s="17"/>
    </row>
    <row r="225" spans="1:8" ht="16.05" customHeight="1" x14ac:dyDescent="0.3">
      <c r="A225" s="16"/>
      <c r="B225" s="16"/>
      <c r="C225" s="16"/>
      <c r="D225" s="16"/>
      <c r="E225" s="16"/>
      <c r="F225" s="16"/>
      <c r="G225" s="16"/>
      <c r="H225" s="17"/>
    </row>
    <row r="226" spans="1:8" ht="16.05" customHeight="1" x14ac:dyDescent="0.3">
      <c r="A226" s="16"/>
      <c r="B226" s="16"/>
      <c r="C226" s="16"/>
      <c r="D226" s="16"/>
      <c r="E226" s="16"/>
      <c r="F226" s="16"/>
      <c r="G226" s="16"/>
      <c r="H226" s="17"/>
    </row>
    <row r="227" spans="1:8" ht="16.05" customHeight="1" x14ac:dyDescent="0.3">
      <c r="A227" s="16"/>
      <c r="B227" s="16"/>
      <c r="C227" s="16"/>
      <c r="D227" s="16"/>
      <c r="E227" s="16"/>
      <c r="F227" s="16"/>
      <c r="G227" s="16"/>
      <c r="H227" s="17"/>
    </row>
    <row r="228" spans="1:8" ht="16.05" customHeight="1" x14ac:dyDescent="0.3">
      <c r="A228" s="16"/>
      <c r="B228" s="16"/>
      <c r="C228" s="16"/>
      <c r="D228" s="16"/>
      <c r="E228" s="16"/>
      <c r="F228" s="16"/>
      <c r="G228" s="16"/>
      <c r="H228" s="17"/>
    </row>
    <row r="229" spans="1:8" ht="16.05" customHeight="1" x14ac:dyDescent="0.3">
      <c r="A229" s="16"/>
      <c r="B229" s="16"/>
      <c r="C229" s="16"/>
      <c r="D229" s="16"/>
      <c r="E229" s="16"/>
      <c r="F229" s="16"/>
      <c r="G229" s="16"/>
      <c r="H229" s="17"/>
    </row>
    <row r="230" spans="1:8" ht="16.05" customHeight="1" x14ac:dyDescent="0.3">
      <c r="A230" s="16"/>
      <c r="B230" s="16"/>
      <c r="C230" s="16"/>
      <c r="D230" s="16"/>
      <c r="E230" s="16"/>
      <c r="F230" s="16"/>
      <c r="G230" s="16"/>
      <c r="H230" s="17"/>
    </row>
    <row r="231" spans="1:8" ht="16.05" customHeight="1" x14ac:dyDescent="0.3">
      <c r="A231" s="16"/>
      <c r="B231" s="16"/>
      <c r="C231" s="16"/>
      <c r="D231" s="16"/>
      <c r="E231" s="16"/>
      <c r="F231" s="16"/>
      <c r="G231" s="16"/>
      <c r="H231" s="17"/>
    </row>
    <row r="232" spans="1:8" ht="16.05" customHeight="1" x14ac:dyDescent="0.3">
      <c r="A232" s="16"/>
      <c r="B232" s="16"/>
      <c r="C232" s="16"/>
      <c r="D232" s="16"/>
      <c r="E232" s="16"/>
      <c r="F232" s="16"/>
      <c r="G232" s="16"/>
      <c r="H232" s="17"/>
    </row>
    <row r="233" spans="1:8" ht="16.05" customHeight="1" x14ac:dyDescent="0.3">
      <c r="A233" s="16"/>
      <c r="B233" s="16"/>
      <c r="C233" s="16"/>
      <c r="D233" s="16"/>
      <c r="E233" s="16"/>
      <c r="F233" s="16"/>
      <c r="G233" s="16"/>
      <c r="H233" s="17"/>
    </row>
    <row r="234" spans="1:8" ht="16.05" customHeight="1" x14ac:dyDescent="0.3">
      <c r="A234" s="16"/>
      <c r="B234" s="16"/>
      <c r="C234" s="16"/>
      <c r="D234" s="16"/>
      <c r="E234" s="16"/>
      <c r="F234" s="16"/>
      <c r="G234" s="16"/>
      <c r="H234" s="17"/>
    </row>
    <row r="235" spans="1:8" ht="16.05" customHeight="1" x14ac:dyDescent="0.3">
      <c r="A235" s="16"/>
      <c r="B235" s="16"/>
      <c r="C235" s="16"/>
      <c r="D235" s="16"/>
      <c r="E235" s="16"/>
      <c r="F235" s="16"/>
      <c r="G235" s="16"/>
      <c r="H235" s="17"/>
    </row>
    <row r="236" spans="1:8" ht="16.05" customHeight="1" x14ac:dyDescent="0.3">
      <c r="A236" s="16"/>
      <c r="B236" s="16"/>
      <c r="C236" s="16"/>
      <c r="D236" s="16"/>
      <c r="E236" s="16"/>
      <c r="F236" s="16"/>
      <c r="G236" s="16"/>
      <c r="H236" s="17"/>
    </row>
    <row r="237" spans="1:8" ht="16.05" customHeight="1" x14ac:dyDescent="0.3">
      <c r="A237" s="16"/>
      <c r="B237" s="16"/>
      <c r="C237" s="16"/>
      <c r="D237" s="16"/>
      <c r="E237" s="16"/>
      <c r="F237" s="16"/>
      <c r="G237" s="16"/>
      <c r="H237" s="17"/>
    </row>
    <row r="238" spans="1:8" ht="16.05" customHeight="1" x14ac:dyDescent="0.3">
      <c r="A238" s="16"/>
      <c r="B238" s="16"/>
      <c r="C238" s="16"/>
      <c r="D238" s="16"/>
      <c r="E238" s="16"/>
      <c r="F238" s="16"/>
      <c r="G238" s="16"/>
      <c r="H238" s="17"/>
    </row>
    <row r="239" spans="1:8" ht="16.05" customHeight="1" x14ac:dyDescent="0.3">
      <c r="A239" s="16"/>
      <c r="B239" s="16"/>
      <c r="C239" s="16"/>
      <c r="D239" s="16"/>
      <c r="E239" s="16"/>
      <c r="F239" s="16"/>
      <c r="G239" s="16"/>
      <c r="H239" s="17"/>
    </row>
    <row r="240" spans="1:8" ht="16.05" customHeight="1" x14ac:dyDescent="0.3">
      <c r="A240" s="16"/>
      <c r="B240" s="16"/>
      <c r="C240" s="16"/>
      <c r="D240" s="16"/>
      <c r="E240" s="16"/>
      <c r="F240" s="16"/>
      <c r="G240" s="16"/>
      <c r="H240" s="17"/>
    </row>
    <row r="241" spans="1:8" ht="16.05" customHeight="1" x14ac:dyDescent="0.3">
      <c r="A241" s="16"/>
      <c r="B241" s="16"/>
      <c r="C241" s="16"/>
      <c r="D241" s="16"/>
      <c r="E241" s="16"/>
      <c r="F241" s="16"/>
      <c r="G241" s="16"/>
      <c r="H241" s="17"/>
    </row>
    <row r="242" spans="1:8" ht="16.05" customHeight="1" x14ac:dyDescent="0.3">
      <c r="A242" s="16"/>
      <c r="B242" s="16"/>
      <c r="C242" s="16"/>
      <c r="D242" s="16"/>
      <c r="E242" s="16"/>
      <c r="F242" s="16"/>
      <c r="G242" s="16"/>
      <c r="H242" s="17"/>
    </row>
    <row r="243" spans="1:8" ht="16.05" customHeight="1" x14ac:dyDescent="0.3">
      <c r="A243" s="16"/>
      <c r="B243" s="16"/>
      <c r="C243" s="16"/>
      <c r="D243" s="16"/>
      <c r="E243" s="16"/>
      <c r="F243" s="16"/>
      <c r="G243" s="16"/>
      <c r="H243" s="17"/>
    </row>
    <row r="244" spans="1:8" ht="16.05" customHeight="1" x14ac:dyDescent="0.3">
      <c r="A244" s="16"/>
      <c r="B244" s="16"/>
      <c r="C244" s="16"/>
      <c r="D244" s="16"/>
      <c r="E244" s="16"/>
      <c r="F244" s="16"/>
      <c r="G244" s="16"/>
      <c r="H244" s="17"/>
    </row>
    <row r="245" spans="1:8" ht="16.05" customHeight="1" x14ac:dyDescent="0.3">
      <c r="A245" s="16"/>
      <c r="B245" s="16"/>
      <c r="C245" s="16"/>
      <c r="D245" s="16"/>
      <c r="E245" s="16"/>
      <c r="F245" s="16"/>
      <c r="G245" s="16"/>
      <c r="H245" s="17"/>
    </row>
    <row r="246" spans="1:8" ht="16.05" customHeight="1" x14ac:dyDescent="0.3">
      <c r="A246" s="16"/>
      <c r="B246" s="16"/>
      <c r="C246" s="16"/>
      <c r="D246" s="16"/>
      <c r="E246" s="16"/>
      <c r="F246" s="16"/>
      <c r="G246" s="16"/>
      <c r="H246" s="17"/>
    </row>
    <row r="247" spans="1:8" ht="16.05" customHeight="1" x14ac:dyDescent="0.3">
      <c r="A247" s="16"/>
      <c r="B247" s="16"/>
      <c r="C247" s="16"/>
      <c r="D247" s="16"/>
      <c r="E247" s="16"/>
      <c r="F247" s="16"/>
      <c r="G247" s="16"/>
      <c r="H247" s="17"/>
    </row>
    <row r="248" spans="1:8" ht="16.05" customHeight="1" x14ac:dyDescent="0.3">
      <c r="A248" s="16"/>
      <c r="B248" s="16"/>
      <c r="C248" s="16"/>
      <c r="D248" s="16"/>
      <c r="E248" s="16"/>
      <c r="F248" s="16"/>
      <c r="G248" s="16"/>
      <c r="H248" s="17"/>
    </row>
    <row r="249" spans="1:8" ht="16.05" customHeight="1" x14ac:dyDescent="0.3">
      <c r="A249" s="16"/>
      <c r="B249" s="16"/>
      <c r="C249" s="16"/>
      <c r="D249" s="16"/>
      <c r="E249" s="16"/>
      <c r="F249" s="16"/>
      <c r="G249" s="16"/>
      <c r="H249" s="17"/>
    </row>
    <row r="250" spans="1:8" ht="16.05" customHeight="1" x14ac:dyDescent="0.3">
      <c r="A250" s="16"/>
      <c r="B250" s="16"/>
      <c r="C250" s="16"/>
      <c r="D250" s="16"/>
      <c r="E250" s="16"/>
      <c r="F250" s="16"/>
      <c r="G250" s="16"/>
      <c r="H250" s="17"/>
    </row>
    <row r="251" spans="1:8" ht="16.05" customHeight="1" x14ac:dyDescent="0.3">
      <c r="A251" s="16"/>
      <c r="B251" s="16"/>
      <c r="C251" s="16"/>
      <c r="D251" s="16"/>
      <c r="E251" s="16"/>
      <c r="F251" s="16"/>
      <c r="G251" s="16"/>
      <c r="H251" s="17"/>
    </row>
    <row r="252" spans="1:8" ht="16.05" customHeight="1" x14ac:dyDescent="0.3">
      <c r="A252" s="16"/>
      <c r="B252" s="16"/>
      <c r="C252" s="16"/>
      <c r="D252" s="16"/>
      <c r="E252" s="16"/>
      <c r="F252" s="16"/>
      <c r="G252" s="16"/>
      <c r="H252" s="17"/>
    </row>
    <row r="253" spans="1:8" ht="16.05" customHeight="1" x14ac:dyDescent="0.3">
      <c r="A253" s="16"/>
      <c r="B253" s="16"/>
      <c r="C253" s="16"/>
      <c r="D253" s="16"/>
      <c r="E253" s="16"/>
      <c r="F253" s="16"/>
      <c r="G253" s="16"/>
      <c r="H253" s="17"/>
    </row>
    <row r="254" spans="1:8" ht="16.05" customHeight="1" x14ac:dyDescent="0.3">
      <c r="A254" s="16"/>
      <c r="B254" s="16"/>
      <c r="C254" s="16"/>
      <c r="D254" s="16"/>
      <c r="E254" s="16"/>
      <c r="F254" s="16"/>
      <c r="G254" s="16"/>
      <c r="H254" s="17"/>
    </row>
    <row r="255" spans="1:8" ht="16.05" customHeight="1" x14ac:dyDescent="0.3">
      <c r="A255" s="16"/>
      <c r="B255" s="16"/>
      <c r="C255" s="16"/>
      <c r="D255" s="16"/>
      <c r="E255" s="16"/>
      <c r="F255" s="16"/>
      <c r="G255" s="16"/>
      <c r="H255" s="17"/>
    </row>
    <row r="256" spans="1:8" ht="16.05" customHeight="1" x14ac:dyDescent="0.3">
      <c r="A256" s="16"/>
      <c r="B256" s="16"/>
      <c r="C256" s="16"/>
      <c r="D256" s="16"/>
      <c r="E256" s="16"/>
      <c r="F256" s="16"/>
      <c r="G256" s="16"/>
      <c r="H256" s="17"/>
    </row>
    <row r="257" spans="1:8" ht="16.05" customHeight="1" x14ac:dyDescent="0.3">
      <c r="A257" s="16"/>
      <c r="B257" s="16"/>
      <c r="C257" s="16"/>
      <c r="D257" s="16"/>
      <c r="E257" s="16"/>
      <c r="F257" s="16"/>
      <c r="G257" s="16"/>
      <c r="H257" s="17"/>
    </row>
    <row r="258" spans="1:8" ht="16.05" customHeight="1" x14ac:dyDescent="0.3">
      <c r="A258" s="16"/>
      <c r="B258" s="16"/>
      <c r="C258" s="16"/>
      <c r="D258" s="16"/>
      <c r="E258" s="16"/>
      <c r="F258" s="16"/>
      <c r="G258" s="16"/>
      <c r="H258" s="17"/>
    </row>
    <row r="259" spans="1:8" ht="16.05" customHeight="1" x14ac:dyDescent="0.3">
      <c r="A259" s="16"/>
      <c r="B259" s="16"/>
      <c r="C259" s="16"/>
      <c r="D259" s="16"/>
      <c r="E259" s="16"/>
      <c r="F259" s="16"/>
      <c r="G259" s="16"/>
      <c r="H259" s="17"/>
    </row>
    <row r="260" spans="1:8" ht="16.05" customHeight="1" x14ac:dyDescent="0.3">
      <c r="A260" s="16"/>
      <c r="B260" s="16"/>
      <c r="C260" s="16"/>
      <c r="D260" s="16"/>
      <c r="E260" s="16"/>
      <c r="F260" s="16"/>
      <c r="G260" s="16"/>
      <c r="H260" s="17"/>
    </row>
    <row r="261" spans="1:8" ht="16.05" customHeight="1" x14ac:dyDescent="0.3">
      <c r="A261" s="16"/>
      <c r="B261" s="16"/>
      <c r="C261" s="16"/>
      <c r="D261" s="16"/>
      <c r="E261" s="16"/>
      <c r="F261" s="16"/>
      <c r="G261" s="16"/>
      <c r="H261" s="17"/>
    </row>
    <row r="262" spans="1:8" ht="16.05" customHeight="1" x14ac:dyDescent="0.3">
      <c r="A262" s="16"/>
      <c r="B262" s="16"/>
      <c r="C262" s="16"/>
      <c r="D262" s="16"/>
      <c r="E262" s="16"/>
      <c r="F262" s="16"/>
      <c r="G262" s="16"/>
      <c r="H262" s="17"/>
    </row>
    <row r="263" spans="1:8" ht="16.05" customHeight="1" x14ac:dyDescent="0.3">
      <c r="A263" s="16"/>
      <c r="B263" s="16"/>
      <c r="C263" s="16"/>
      <c r="D263" s="16"/>
      <c r="E263" s="16"/>
      <c r="F263" s="16"/>
      <c r="G263" s="16"/>
      <c r="H263" s="17"/>
    </row>
    <row r="264" spans="1:8" ht="16.05" customHeight="1" x14ac:dyDescent="0.3">
      <c r="A264" s="16"/>
      <c r="B264" s="16"/>
      <c r="C264" s="16"/>
      <c r="D264" s="16"/>
      <c r="E264" s="16"/>
      <c r="F264" s="16"/>
      <c r="G264" s="16"/>
      <c r="H264" s="17"/>
    </row>
    <row r="265" spans="1:8" ht="16.05" customHeight="1" x14ac:dyDescent="0.3">
      <c r="A265" s="16"/>
      <c r="B265" s="16"/>
      <c r="C265" s="16"/>
      <c r="D265" s="16"/>
      <c r="E265" s="16"/>
      <c r="F265" s="16"/>
      <c r="G265" s="16"/>
      <c r="H265" s="17"/>
    </row>
    <row r="266" spans="1:8" ht="16.05" customHeight="1" x14ac:dyDescent="0.3">
      <c r="A266" s="16"/>
      <c r="B266" s="16"/>
      <c r="C266" s="16"/>
      <c r="D266" s="16"/>
      <c r="E266" s="16"/>
      <c r="F266" s="16"/>
      <c r="G266" s="16"/>
      <c r="H266" s="17"/>
    </row>
    <row r="267" spans="1:8" ht="16.05" customHeight="1" x14ac:dyDescent="0.3">
      <c r="A267" s="16"/>
      <c r="B267" s="16"/>
      <c r="C267" s="16"/>
      <c r="D267" s="16"/>
      <c r="E267" s="16"/>
      <c r="F267" s="16"/>
      <c r="G267" s="16"/>
      <c r="H267" s="17"/>
    </row>
    <row r="268" spans="1:8" ht="16.05" customHeight="1" x14ac:dyDescent="0.3">
      <c r="A268" s="16"/>
      <c r="B268" s="16"/>
      <c r="C268" s="16"/>
      <c r="D268" s="16"/>
      <c r="E268" s="16"/>
      <c r="F268" s="16"/>
      <c r="G268" s="16"/>
      <c r="H268" s="17"/>
    </row>
    <row r="269" spans="1:8" ht="16.05" customHeight="1" x14ac:dyDescent="0.3">
      <c r="A269" s="16"/>
      <c r="B269" s="16"/>
      <c r="C269" s="16"/>
      <c r="D269" s="16"/>
      <c r="E269" s="16"/>
      <c r="F269" s="16"/>
      <c r="G269" s="16"/>
      <c r="H269" s="17"/>
    </row>
    <row r="270" spans="1:8" ht="16.05" customHeight="1" x14ac:dyDescent="0.3">
      <c r="A270" s="16"/>
      <c r="B270" s="16"/>
      <c r="C270" s="16"/>
      <c r="D270" s="16"/>
      <c r="E270" s="16"/>
      <c r="F270" s="16"/>
      <c r="G270" s="16"/>
      <c r="H270" s="17"/>
    </row>
    <row r="271" spans="1:8" ht="16.05" customHeight="1" x14ac:dyDescent="0.3">
      <c r="A271" s="16"/>
      <c r="B271" s="16"/>
      <c r="C271" s="16"/>
      <c r="D271" s="16"/>
      <c r="E271" s="16"/>
      <c r="F271" s="16"/>
      <c r="G271" s="16"/>
      <c r="H271" s="17"/>
    </row>
    <row r="272" spans="1:8" ht="16.05" customHeight="1" x14ac:dyDescent="0.3">
      <c r="A272" s="16"/>
      <c r="B272" s="16"/>
      <c r="C272" s="16"/>
      <c r="D272" s="16"/>
      <c r="E272" s="16"/>
      <c r="F272" s="16"/>
      <c r="G272" s="16"/>
      <c r="H272" s="17"/>
    </row>
    <row r="273" spans="1:8" ht="16.05" customHeight="1" x14ac:dyDescent="0.3">
      <c r="A273" s="16"/>
      <c r="B273" s="16"/>
      <c r="C273" s="16"/>
      <c r="D273" s="16"/>
      <c r="E273" s="16"/>
      <c r="F273" s="16"/>
      <c r="G273" s="16"/>
      <c r="H273" s="17"/>
    </row>
    <row r="274" spans="1:8" ht="16.05" customHeight="1" x14ac:dyDescent="0.3">
      <c r="A274" s="16"/>
      <c r="B274" s="16"/>
      <c r="C274" s="16"/>
      <c r="D274" s="16"/>
      <c r="E274" s="16"/>
      <c r="F274" s="16"/>
      <c r="G274" s="16"/>
      <c r="H274" s="17"/>
    </row>
    <row r="275" spans="1:8" ht="16.05" customHeight="1" x14ac:dyDescent="0.3">
      <c r="A275" s="16"/>
      <c r="B275" s="16"/>
      <c r="C275" s="16"/>
      <c r="D275" s="16"/>
      <c r="E275" s="16"/>
      <c r="F275" s="16"/>
      <c r="G275" s="16"/>
      <c r="H275" s="17"/>
    </row>
    <row r="276" spans="1:8" ht="16.05" customHeight="1" x14ac:dyDescent="0.3">
      <c r="A276" s="16"/>
      <c r="B276" s="16"/>
      <c r="C276" s="16"/>
      <c r="D276" s="16"/>
      <c r="E276" s="16"/>
      <c r="F276" s="16"/>
      <c r="G276" s="16"/>
      <c r="H276" s="17"/>
    </row>
    <row r="277" spans="1:8" ht="16.05" customHeight="1" x14ac:dyDescent="0.3">
      <c r="A277" s="16"/>
      <c r="B277" s="16"/>
      <c r="C277" s="16"/>
      <c r="D277" s="16"/>
      <c r="E277" s="16"/>
      <c r="F277" s="16"/>
      <c r="G277" s="16"/>
      <c r="H277" s="17"/>
    </row>
    <row r="278" spans="1:8" ht="16.05" customHeight="1" x14ac:dyDescent="0.3">
      <c r="A278" s="16"/>
      <c r="B278" s="16"/>
      <c r="C278" s="16"/>
      <c r="D278" s="16"/>
      <c r="E278" s="16"/>
      <c r="F278" s="16"/>
      <c r="G278" s="16"/>
      <c r="H278" s="17"/>
    </row>
    <row r="279" spans="1:8" ht="16.05" customHeight="1" x14ac:dyDescent="0.3">
      <c r="A279" s="16"/>
      <c r="B279" s="16"/>
      <c r="C279" s="16"/>
      <c r="D279" s="16"/>
      <c r="E279" s="16"/>
      <c r="F279" s="16"/>
      <c r="G279" s="16"/>
      <c r="H279" s="17"/>
    </row>
    <row r="280" spans="1:8" ht="16.05" customHeight="1" x14ac:dyDescent="0.3">
      <c r="A280" s="16"/>
      <c r="B280" s="16"/>
      <c r="C280" s="16"/>
      <c r="D280" s="16"/>
      <c r="E280" s="16"/>
      <c r="F280" s="16"/>
      <c r="G280" s="16"/>
      <c r="H280" s="17"/>
    </row>
    <row r="281" spans="1:8" ht="16.05" customHeight="1" x14ac:dyDescent="0.3">
      <c r="A281" s="16"/>
      <c r="B281" s="16"/>
      <c r="C281" s="16"/>
      <c r="D281" s="16"/>
      <c r="E281" s="16"/>
      <c r="F281" s="16"/>
      <c r="G281" s="16"/>
      <c r="H281" s="17"/>
    </row>
    <row r="282" spans="1:8" ht="16.05" customHeight="1" x14ac:dyDescent="0.3">
      <c r="A282" s="16"/>
      <c r="B282" s="16"/>
      <c r="C282" s="16"/>
      <c r="D282" s="16"/>
      <c r="E282" s="16"/>
      <c r="F282" s="16"/>
      <c r="G282" s="16"/>
      <c r="H282" s="17"/>
    </row>
    <row r="283" spans="1:8" ht="16.05" customHeight="1" x14ac:dyDescent="0.3">
      <c r="A283" s="16"/>
      <c r="B283" s="16"/>
      <c r="C283" s="16"/>
      <c r="D283" s="16"/>
      <c r="E283" s="16"/>
      <c r="F283" s="16"/>
      <c r="G283" s="16"/>
      <c r="H283" s="17"/>
    </row>
    <row r="284" spans="1:8" ht="16.05" customHeight="1" x14ac:dyDescent="0.3">
      <c r="A284" s="16"/>
      <c r="B284" s="16"/>
      <c r="C284" s="16"/>
      <c r="D284" s="16"/>
      <c r="E284" s="16"/>
      <c r="F284" s="16"/>
      <c r="G284" s="16"/>
      <c r="H284" s="17"/>
    </row>
    <row r="285" spans="1:8" ht="16.05" customHeight="1" x14ac:dyDescent="0.3">
      <c r="A285" s="16"/>
      <c r="B285" s="16"/>
      <c r="C285" s="16"/>
      <c r="D285" s="16"/>
      <c r="E285" s="16"/>
      <c r="F285" s="16"/>
      <c r="G285" s="16"/>
      <c r="H285" s="17"/>
    </row>
    <row r="286" spans="1:8" ht="16.05" customHeight="1" x14ac:dyDescent="0.3">
      <c r="A286" s="16"/>
      <c r="B286" s="16"/>
      <c r="C286" s="16"/>
      <c r="D286" s="16"/>
      <c r="E286" s="16"/>
      <c r="F286" s="16"/>
      <c r="G286" s="16"/>
      <c r="H286" s="17"/>
    </row>
    <row r="287" spans="1:8" ht="16.05" customHeight="1" x14ac:dyDescent="0.3">
      <c r="A287" s="16"/>
      <c r="B287" s="16"/>
      <c r="C287" s="16"/>
      <c r="D287" s="16"/>
      <c r="E287" s="16"/>
      <c r="F287" s="16"/>
      <c r="G287" s="16"/>
      <c r="H287" s="17"/>
    </row>
    <row r="288" spans="1:8" ht="16.05" customHeight="1" x14ac:dyDescent="0.3">
      <c r="A288" s="16"/>
      <c r="B288" s="16"/>
      <c r="C288" s="16"/>
      <c r="D288" s="16"/>
      <c r="E288" s="16"/>
      <c r="F288" s="16"/>
      <c r="G288" s="16"/>
      <c r="H288" s="17"/>
    </row>
    <row r="289" spans="1:8" ht="16.05" customHeight="1" x14ac:dyDescent="0.3">
      <c r="A289" s="16"/>
      <c r="B289" s="16"/>
      <c r="C289" s="16"/>
      <c r="D289" s="16"/>
      <c r="E289" s="16"/>
      <c r="F289" s="16"/>
      <c r="G289" s="16"/>
      <c r="H289" s="17"/>
    </row>
    <row r="290" spans="1:8" ht="16.05" customHeight="1" x14ac:dyDescent="0.3">
      <c r="A290" s="16"/>
      <c r="B290" s="16"/>
      <c r="C290" s="16"/>
      <c r="D290" s="16"/>
      <c r="E290" s="16"/>
      <c r="F290" s="16"/>
      <c r="G290" s="16"/>
      <c r="H290" s="17"/>
    </row>
    <row r="291" spans="1:8" ht="16.05" customHeight="1" x14ac:dyDescent="0.3">
      <c r="A291" s="16"/>
      <c r="B291" s="16"/>
      <c r="C291" s="16"/>
      <c r="D291" s="16"/>
      <c r="E291" s="16"/>
      <c r="F291" s="16"/>
      <c r="G291" s="16"/>
      <c r="H291" s="17"/>
    </row>
    <row r="292" spans="1:8" ht="16.05" customHeight="1" x14ac:dyDescent="0.3">
      <c r="A292" s="16"/>
      <c r="B292" s="16"/>
      <c r="C292" s="16"/>
      <c r="D292" s="16"/>
      <c r="E292" s="16"/>
      <c r="F292" s="16"/>
      <c r="G292" s="16"/>
      <c r="H292" s="17"/>
    </row>
    <row r="293" spans="1:8" ht="16.05" customHeight="1" x14ac:dyDescent="0.3">
      <c r="A293" s="16"/>
      <c r="B293" s="16"/>
      <c r="C293" s="16"/>
      <c r="D293" s="16"/>
      <c r="E293" s="16"/>
      <c r="F293" s="16"/>
      <c r="G293" s="16"/>
      <c r="H293" s="17"/>
    </row>
    <row r="294" spans="1:8" ht="16.05" customHeight="1" x14ac:dyDescent="0.3">
      <c r="A294" s="16"/>
      <c r="B294" s="16"/>
      <c r="C294" s="16"/>
      <c r="D294" s="16"/>
      <c r="E294" s="16"/>
      <c r="F294" s="16"/>
      <c r="G294" s="16"/>
      <c r="H294" s="17"/>
    </row>
    <row r="295" spans="1:8" ht="16.05" customHeight="1" x14ac:dyDescent="0.3">
      <c r="A295" s="16"/>
      <c r="B295" s="16"/>
      <c r="C295" s="16"/>
      <c r="D295" s="16"/>
      <c r="E295" s="16"/>
      <c r="F295" s="16"/>
      <c r="G295" s="16"/>
      <c r="H295" s="17"/>
    </row>
    <row r="296" spans="1:8" ht="16.05" customHeight="1" x14ac:dyDescent="0.3">
      <c r="A296" s="16"/>
      <c r="B296" s="16"/>
      <c r="C296" s="16"/>
      <c r="D296" s="16"/>
      <c r="E296" s="16"/>
      <c r="F296" s="16"/>
      <c r="G296" s="16"/>
      <c r="H296" s="17"/>
    </row>
    <row r="297" spans="1:8" ht="16.05" customHeight="1" x14ac:dyDescent="0.3">
      <c r="A297" s="16"/>
      <c r="B297" s="16"/>
      <c r="C297" s="16"/>
      <c r="D297" s="16"/>
      <c r="E297" s="16"/>
      <c r="F297" s="16"/>
      <c r="G297" s="16"/>
      <c r="H297" s="17"/>
    </row>
    <row r="298" spans="1:8" ht="16.05" customHeight="1" x14ac:dyDescent="0.3">
      <c r="A298" s="16"/>
      <c r="B298" s="16"/>
      <c r="C298" s="16"/>
      <c r="D298" s="16"/>
      <c r="E298" s="16"/>
      <c r="F298" s="16"/>
      <c r="G298" s="16"/>
      <c r="H298" s="17"/>
    </row>
    <row r="299" spans="1:8" ht="16.05" customHeight="1" x14ac:dyDescent="0.3">
      <c r="A299" s="16"/>
      <c r="B299" s="16"/>
      <c r="C299" s="16"/>
      <c r="D299" s="16"/>
      <c r="E299" s="16"/>
      <c r="F299" s="16"/>
      <c r="G299" s="16"/>
      <c r="H299" s="17"/>
    </row>
    <row r="300" spans="1:8" ht="16.05" customHeight="1" x14ac:dyDescent="0.3">
      <c r="A300" s="16"/>
      <c r="B300" s="16"/>
      <c r="C300" s="16"/>
      <c r="D300" s="16"/>
      <c r="E300" s="16"/>
      <c r="F300" s="16"/>
      <c r="G300" s="16"/>
      <c r="H300" s="17"/>
    </row>
    <row r="301" spans="1:8" ht="16.05" customHeight="1" x14ac:dyDescent="0.3">
      <c r="A301" s="16"/>
      <c r="B301" s="16"/>
      <c r="C301" s="16"/>
      <c r="D301" s="16"/>
      <c r="E301" s="16"/>
      <c r="F301" s="16"/>
      <c r="G301" s="16"/>
      <c r="H301" s="17"/>
    </row>
    <row r="302" spans="1:8" ht="16.05" customHeight="1" x14ac:dyDescent="0.3">
      <c r="A302" s="16"/>
      <c r="B302" s="16"/>
      <c r="C302" s="16"/>
      <c r="D302" s="16"/>
      <c r="E302" s="16"/>
      <c r="F302" s="16"/>
      <c r="G302" s="16"/>
      <c r="H302" s="17"/>
    </row>
    <row r="303" spans="1:8" ht="16.05" customHeight="1" x14ac:dyDescent="0.3">
      <c r="A303" s="16"/>
      <c r="B303" s="16"/>
      <c r="C303" s="16"/>
      <c r="D303" s="16"/>
      <c r="E303" s="16"/>
      <c r="F303" s="16"/>
      <c r="G303" s="16"/>
      <c r="H303" s="17"/>
    </row>
    <row r="304" spans="1:8" ht="16.05" customHeight="1" x14ac:dyDescent="0.3">
      <c r="A304" s="16"/>
      <c r="B304" s="16"/>
      <c r="C304" s="16"/>
      <c r="D304" s="16"/>
      <c r="E304" s="16"/>
      <c r="F304" s="16"/>
      <c r="G304" s="16"/>
      <c r="H304" s="17"/>
    </row>
    <row r="305" spans="1:8" ht="16.05" customHeight="1" x14ac:dyDescent="0.3">
      <c r="A305" s="16"/>
      <c r="B305" s="16"/>
      <c r="C305" s="16"/>
      <c r="D305" s="16"/>
      <c r="E305" s="16"/>
      <c r="F305" s="16"/>
      <c r="G305" s="16"/>
      <c r="H305" s="17"/>
    </row>
    <row r="306" spans="1:8" ht="16.05" customHeight="1" x14ac:dyDescent="0.3">
      <c r="A306" s="16"/>
      <c r="B306" s="16"/>
      <c r="C306" s="16"/>
      <c r="D306" s="16"/>
      <c r="E306" s="16"/>
      <c r="F306" s="16"/>
      <c r="G306" s="16"/>
      <c r="H306" s="17"/>
    </row>
    <row r="307" spans="1:8" ht="16.05" customHeight="1" x14ac:dyDescent="0.3">
      <c r="A307" s="16"/>
      <c r="B307" s="16"/>
      <c r="C307" s="16"/>
      <c r="D307" s="16"/>
      <c r="E307" s="16"/>
      <c r="F307" s="16"/>
      <c r="G307" s="16"/>
      <c r="H307" s="17"/>
    </row>
    <row r="308" spans="1:8" ht="16.05" customHeight="1" x14ac:dyDescent="0.3">
      <c r="A308" s="16"/>
      <c r="B308" s="16"/>
      <c r="C308" s="16"/>
      <c r="D308" s="16"/>
      <c r="E308" s="16"/>
      <c r="F308" s="16"/>
      <c r="G308" s="16"/>
      <c r="H308" s="17"/>
    </row>
    <row r="309" spans="1:8" ht="16.05" customHeight="1" x14ac:dyDescent="0.3">
      <c r="A309" s="16"/>
      <c r="B309" s="16"/>
      <c r="C309" s="16"/>
      <c r="D309" s="16"/>
      <c r="E309" s="16"/>
      <c r="F309" s="16"/>
      <c r="G309" s="16"/>
      <c r="H309" s="17"/>
    </row>
    <row r="310" spans="1:8" ht="16.05" customHeight="1" x14ac:dyDescent="0.3">
      <c r="A310" s="16"/>
      <c r="B310" s="16"/>
      <c r="C310" s="16"/>
      <c r="D310" s="16"/>
      <c r="E310" s="16"/>
      <c r="F310" s="16"/>
      <c r="G310" s="16"/>
      <c r="H310" s="17"/>
    </row>
    <row r="311" spans="1:8" ht="16.05" customHeight="1" x14ac:dyDescent="0.3">
      <c r="A311" s="16"/>
      <c r="B311" s="16"/>
      <c r="C311" s="16"/>
      <c r="D311" s="16"/>
      <c r="E311" s="16"/>
      <c r="F311" s="16"/>
      <c r="G311" s="16"/>
      <c r="H311" s="17"/>
    </row>
    <row r="312" spans="1:8" ht="16.05" customHeight="1" x14ac:dyDescent="0.3">
      <c r="A312" s="16"/>
      <c r="B312" s="16"/>
      <c r="C312" s="16"/>
      <c r="D312" s="16"/>
      <c r="E312" s="16"/>
      <c r="F312" s="16"/>
      <c r="G312" s="16"/>
      <c r="H312" s="17"/>
    </row>
    <row r="313" spans="1:8" ht="16.05" customHeight="1" x14ac:dyDescent="0.3">
      <c r="A313" s="16"/>
      <c r="B313" s="16"/>
      <c r="C313" s="16"/>
      <c r="D313" s="16"/>
      <c r="E313" s="16"/>
      <c r="F313" s="16"/>
      <c r="G313" s="16"/>
      <c r="H313" s="17"/>
    </row>
    <row r="314" spans="1:8" ht="16.05" customHeight="1" x14ac:dyDescent="0.3">
      <c r="A314" s="16"/>
      <c r="B314" s="16"/>
      <c r="C314" s="16"/>
      <c r="D314" s="16"/>
      <c r="E314" s="16"/>
      <c r="F314" s="16"/>
      <c r="G314" s="16"/>
      <c r="H314" s="17"/>
    </row>
    <row r="315" spans="1:8" ht="16.05" customHeight="1" x14ac:dyDescent="0.3">
      <c r="A315" s="16"/>
      <c r="B315" s="16"/>
      <c r="C315" s="16"/>
      <c r="D315" s="16"/>
      <c r="E315" s="16"/>
      <c r="F315" s="16"/>
      <c r="G315" s="16"/>
      <c r="H315" s="17"/>
    </row>
    <row r="316" spans="1:8" ht="16.05" customHeight="1" x14ac:dyDescent="0.3">
      <c r="A316" s="16"/>
      <c r="B316" s="16"/>
      <c r="C316" s="16"/>
      <c r="D316" s="16"/>
      <c r="E316" s="16"/>
      <c r="F316" s="16"/>
      <c r="G316" s="16"/>
      <c r="H316" s="17"/>
    </row>
    <row r="317" spans="1:8" ht="16.05" customHeight="1" x14ac:dyDescent="0.3">
      <c r="A317" s="16"/>
      <c r="B317" s="16"/>
      <c r="C317" s="16"/>
      <c r="D317" s="16"/>
      <c r="E317" s="16"/>
      <c r="F317" s="16"/>
      <c r="G317" s="16"/>
      <c r="H317" s="17"/>
    </row>
    <row r="318" spans="1:8" ht="16.05" customHeight="1" x14ac:dyDescent="0.3">
      <c r="A318" s="16"/>
      <c r="B318" s="16"/>
      <c r="C318" s="16"/>
      <c r="D318" s="16"/>
      <c r="E318" s="16"/>
      <c r="F318" s="16"/>
      <c r="G318" s="16"/>
      <c r="H318" s="17"/>
    </row>
    <row r="319" spans="1:8" ht="16.05" customHeight="1" x14ac:dyDescent="0.3">
      <c r="A319" s="16"/>
      <c r="B319" s="16"/>
      <c r="C319" s="16"/>
      <c r="D319" s="16"/>
      <c r="E319" s="16"/>
      <c r="F319" s="16"/>
      <c r="G319" s="16"/>
      <c r="H319" s="17"/>
    </row>
    <row r="320" spans="1:8" ht="16.05" customHeight="1" x14ac:dyDescent="0.3">
      <c r="A320" s="16"/>
      <c r="B320" s="16"/>
      <c r="C320" s="16"/>
      <c r="D320" s="16"/>
      <c r="E320" s="16"/>
      <c r="F320" s="16"/>
      <c r="G320" s="16"/>
      <c r="H320" s="17"/>
    </row>
    <row r="321" spans="1:8" ht="16.05" customHeight="1" x14ac:dyDescent="0.3">
      <c r="A321" s="16"/>
      <c r="B321" s="16"/>
      <c r="C321" s="16"/>
      <c r="D321" s="16"/>
      <c r="E321" s="16"/>
      <c r="F321" s="16"/>
      <c r="G321" s="16"/>
      <c r="H321" s="17"/>
    </row>
    <row r="322" spans="1:8" ht="16.05" customHeight="1" x14ac:dyDescent="0.3">
      <c r="A322" s="16"/>
      <c r="B322" s="16"/>
      <c r="C322" s="16"/>
      <c r="D322" s="16"/>
      <c r="E322" s="16"/>
      <c r="F322" s="16"/>
      <c r="G322" s="16"/>
      <c r="H322" s="17"/>
    </row>
    <row r="323" spans="1:8" ht="16.05" customHeight="1" x14ac:dyDescent="0.3">
      <c r="A323" s="16"/>
      <c r="B323" s="16"/>
      <c r="C323" s="16"/>
      <c r="D323" s="16"/>
      <c r="E323" s="16"/>
      <c r="F323" s="16"/>
      <c r="G323" s="16"/>
      <c r="H323" s="17"/>
    </row>
    <row r="324" spans="1:8" ht="16.05" customHeight="1" x14ac:dyDescent="0.3">
      <c r="A324" s="16"/>
      <c r="B324" s="16"/>
      <c r="C324" s="16"/>
      <c r="D324" s="16"/>
      <c r="E324" s="16"/>
      <c r="F324" s="16"/>
      <c r="G324" s="16"/>
      <c r="H324" s="17"/>
    </row>
    <row r="325" spans="1:8" ht="16.05" customHeight="1" x14ac:dyDescent="0.3">
      <c r="A325" s="16"/>
      <c r="B325" s="16"/>
      <c r="C325" s="16"/>
      <c r="D325" s="16"/>
      <c r="E325" s="16"/>
      <c r="F325" s="16"/>
      <c r="G325" s="16"/>
      <c r="H325" s="17"/>
    </row>
    <row r="326" spans="1:8" ht="16.05" customHeight="1" x14ac:dyDescent="0.3">
      <c r="A326" s="16"/>
      <c r="B326" s="16"/>
      <c r="C326" s="16"/>
      <c r="D326" s="16"/>
      <c r="E326" s="16"/>
      <c r="F326" s="16"/>
      <c r="G326" s="16"/>
      <c r="H326" s="17"/>
    </row>
    <row r="327" spans="1:8" ht="16.05" customHeight="1" x14ac:dyDescent="0.3">
      <c r="A327" s="16"/>
      <c r="B327" s="16"/>
      <c r="C327" s="16"/>
      <c r="D327" s="16"/>
      <c r="E327" s="16"/>
      <c r="F327" s="16"/>
      <c r="G327" s="16"/>
      <c r="H327" s="17"/>
    </row>
    <row r="328" spans="1:8" ht="16.05" customHeight="1" x14ac:dyDescent="0.3">
      <c r="A328" s="16"/>
      <c r="B328" s="16"/>
      <c r="C328" s="16"/>
      <c r="D328" s="16"/>
      <c r="E328" s="16"/>
      <c r="F328" s="16"/>
      <c r="G328" s="16"/>
      <c r="H328" s="17"/>
    </row>
    <row r="329" spans="1:8" ht="16.05" customHeight="1" x14ac:dyDescent="0.3">
      <c r="A329" s="16"/>
      <c r="B329" s="16"/>
      <c r="C329" s="16"/>
      <c r="D329" s="16"/>
      <c r="E329" s="16"/>
      <c r="F329" s="16"/>
      <c r="G329" s="16"/>
      <c r="H329" s="17"/>
    </row>
    <row r="330" spans="1:8" ht="16.05" customHeight="1" x14ac:dyDescent="0.3">
      <c r="A330" s="16"/>
      <c r="B330" s="16"/>
      <c r="C330" s="16"/>
      <c r="D330" s="16"/>
      <c r="E330" s="16"/>
      <c r="F330" s="16"/>
      <c r="G330" s="16"/>
      <c r="H330" s="17"/>
    </row>
    <row r="331" spans="1:8" ht="16.05" customHeight="1" x14ac:dyDescent="0.3">
      <c r="A331" s="16"/>
      <c r="B331" s="16"/>
      <c r="C331" s="16"/>
      <c r="D331" s="16"/>
      <c r="E331" s="16"/>
      <c r="F331" s="16"/>
      <c r="G331" s="16"/>
      <c r="H331" s="17"/>
    </row>
    <row r="332" spans="1:8" ht="16.05" customHeight="1" x14ac:dyDescent="0.3">
      <c r="A332" s="16"/>
      <c r="B332" s="16"/>
      <c r="C332" s="16"/>
      <c r="D332" s="16"/>
      <c r="E332" s="16"/>
      <c r="F332" s="16"/>
      <c r="G332" s="16"/>
      <c r="H332" s="17"/>
    </row>
    <row r="333" spans="1:8" ht="16.05" customHeight="1" x14ac:dyDescent="0.3">
      <c r="A333" s="16"/>
      <c r="B333" s="16"/>
      <c r="C333" s="16"/>
      <c r="D333" s="16"/>
      <c r="E333" s="16"/>
      <c r="F333" s="16"/>
      <c r="G333" s="16"/>
      <c r="H333" s="17"/>
    </row>
    <row r="334" spans="1:8" ht="16.05" customHeight="1" x14ac:dyDescent="0.3">
      <c r="A334" s="16"/>
      <c r="B334" s="16"/>
      <c r="C334" s="16"/>
      <c r="D334" s="16"/>
      <c r="E334" s="16"/>
      <c r="F334" s="16"/>
      <c r="G334" s="16"/>
      <c r="H334" s="17"/>
    </row>
    <row r="335" spans="1:8" ht="16.05" customHeight="1" x14ac:dyDescent="0.3">
      <c r="A335" s="16"/>
      <c r="B335" s="16"/>
      <c r="C335" s="16"/>
      <c r="D335" s="16"/>
      <c r="E335" s="16"/>
      <c r="F335" s="16"/>
      <c r="G335" s="16"/>
      <c r="H335" s="17"/>
    </row>
    <row r="336" spans="1:8" ht="16.05" customHeight="1" x14ac:dyDescent="0.3">
      <c r="A336" s="16"/>
      <c r="B336" s="16"/>
      <c r="C336" s="16"/>
      <c r="D336" s="16"/>
      <c r="E336" s="16"/>
      <c r="F336" s="16"/>
      <c r="G336" s="16"/>
      <c r="H336" s="17"/>
    </row>
    <row r="337" spans="1:8" ht="16.05" customHeight="1" x14ac:dyDescent="0.3">
      <c r="A337" s="16"/>
      <c r="B337" s="16"/>
      <c r="C337" s="16"/>
      <c r="D337" s="16"/>
      <c r="E337" s="16"/>
      <c r="F337" s="16"/>
      <c r="G337" s="16"/>
      <c r="H337" s="17"/>
    </row>
    <row r="338" spans="1:8" ht="16.05" customHeight="1" x14ac:dyDescent="0.3">
      <c r="A338" s="16"/>
      <c r="B338" s="16"/>
      <c r="C338" s="16"/>
      <c r="D338" s="16"/>
      <c r="E338" s="16"/>
      <c r="F338" s="16"/>
      <c r="G338" s="16"/>
      <c r="H338" s="17"/>
    </row>
    <row r="339" spans="1:8" ht="16.05" customHeight="1" x14ac:dyDescent="0.3">
      <c r="A339" s="16"/>
      <c r="B339" s="16"/>
      <c r="C339" s="16"/>
      <c r="D339" s="16"/>
      <c r="E339" s="16"/>
      <c r="F339" s="16"/>
      <c r="G339" s="16"/>
      <c r="H339" s="17"/>
    </row>
    <row r="340" spans="1:8" ht="16.05" customHeight="1" x14ac:dyDescent="0.3">
      <c r="A340" s="16"/>
      <c r="B340" s="16"/>
      <c r="C340" s="16"/>
      <c r="D340" s="16"/>
      <c r="E340" s="16"/>
      <c r="F340" s="16"/>
      <c r="G340" s="16"/>
      <c r="H340" s="17"/>
    </row>
    <row r="341" spans="1:8" ht="16.05" customHeight="1" x14ac:dyDescent="0.3">
      <c r="A341" s="16"/>
      <c r="B341" s="16"/>
      <c r="C341" s="16"/>
      <c r="D341" s="16"/>
      <c r="E341" s="16"/>
      <c r="F341" s="16"/>
      <c r="G341" s="16"/>
      <c r="H341" s="17"/>
    </row>
    <row r="342" spans="1:8" ht="16.05" customHeight="1" x14ac:dyDescent="0.3">
      <c r="A342" s="16"/>
      <c r="B342" s="16"/>
      <c r="C342" s="16"/>
      <c r="D342" s="16"/>
      <c r="E342" s="16"/>
      <c r="F342" s="16"/>
      <c r="G342" s="16"/>
      <c r="H342" s="17"/>
    </row>
    <row r="343" spans="1:8" ht="16.05" customHeight="1" x14ac:dyDescent="0.3">
      <c r="A343" s="16"/>
      <c r="B343" s="16"/>
      <c r="C343" s="16"/>
      <c r="D343" s="16"/>
      <c r="E343" s="16"/>
      <c r="F343" s="16"/>
      <c r="G343" s="16"/>
      <c r="H343" s="17"/>
    </row>
    <row r="344" spans="1:8" ht="16.05" customHeight="1" x14ac:dyDescent="0.3">
      <c r="A344" s="16"/>
      <c r="B344" s="16"/>
      <c r="C344" s="16"/>
      <c r="D344" s="16"/>
      <c r="E344" s="16"/>
      <c r="F344" s="16"/>
      <c r="G344" s="16"/>
      <c r="H344" s="17"/>
    </row>
    <row r="345" spans="1:8" ht="16.05" customHeight="1" x14ac:dyDescent="0.3">
      <c r="A345" s="16"/>
      <c r="B345" s="16"/>
      <c r="C345" s="16"/>
      <c r="D345" s="16"/>
      <c r="E345" s="16"/>
      <c r="F345" s="16"/>
      <c r="G345" s="16"/>
      <c r="H345" s="17"/>
    </row>
    <row r="346" spans="1:8" ht="16.05" customHeight="1" x14ac:dyDescent="0.3">
      <c r="A346" s="16"/>
      <c r="B346" s="16"/>
      <c r="C346" s="16"/>
      <c r="D346" s="16"/>
      <c r="E346" s="16"/>
      <c r="F346" s="16"/>
      <c r="G346" s="16"/>
      <c r="H346" s="17"/>
    </row>
    <row r="347" spans="1:8" ht="16.05" customHeight="1" x14ac:dyDescent="0.3">
      <c r="A347" s="16"/>
      <c r="B347" s="16"/>
      <c r="C347" s="16"/>
      <c r="D347" s="16"/>
      <c r="E347" s="16"/>
      <c r="F347" s="16"/>
      <c r="G347" s="16"/>
      <c r="H347" s="17"/>
    </row>
    <row r="348" spans="1:8" ht="16.05" customHeight="1" x14ac:dyDescent="0.3">
      <c r="A348" s="16"/>
      <c r="B348" s="16"/>
      <c r="C348" s="16"/>
      <c r="D348" s="16"/>
      <c r="E348" s="16"/>
      <c r="F348" s="16"/>
      <c r="G348" s="16"/>
      <c r="H348" s="17"/>
    </row>
    <row r="349" spans="1:8" ht="16.05" customHeight="1" x14ac:dyDescent="0.3">
      <c r="A349" s="16"/>
      <c r="B349" s="16"/>
      <c r="C349" s="16"/>
      <c r="D349" s="16"/>
      <c r="E349" s="16"/>
      <c r="F349" s="16"/>
      <c r="G349" s="16"/>
      <c r="H349" s="17"/>
    </row>
    <row r="350" spans="1:8" ht="16.05" customHeight="1" x14ac:dyDescent="0.3">
      <c r="A350" s="16"/>
      <c r="B350" s="16"/>
      <c r="C350" s="16"/>
      <c r="D350" s="16"/>
      <c r="E350" s="16"/>
      <c r="F350" s="16"/>
      <c r="G350" s="16"/>
      <c r="H350" s="17"/>
    </row>
    <row r="351" spans="1:8" ht="16.05" customHeight="1" x14ac:dyDescent="0.3">
      <c r="A351" s="16"/>
      <c r="B351" s="16"/>
      <c r="C351" s="16"/>
      <c r="D351" s="16"/>
      <c r="E351" s="16"/>
      <c r="F351" s="16"/>
      <c r="G351" s="16"/>
      <c r="H351" s="17"/>
    </row>
    <row r="352" spans="1:8" ht="16.05" customHeight="1" x14ac:dyDescent="0.3">
      <c r="A352" s="16"/>
      <c r="B352" s="16"/>
      <c r="C352" s="16"/>
      <c r="D352" s="16"/>
      <c r="E352" s="16"/>
      <c r="F352" s="16"/>
      <c r="G352" s="16"/>
      <c r="H352" s="17"/>
    </row>
    <row r="353" spans="1:8" ht="16.05" customHeight="1" x14ac:dyDescent="0.3">
      <c r="A353" s="16"/>
      <c r="B353" s="16"/>
      <c r="C353" s="16"/>
      <c r="D353" s="16"/>
      <c r="E353" s="16"/>
      <c r="F353" s="16"/>
      <c r="G353" s="16"/>
      <c r="H353" s="17"/>
    </row>
    <row r="354" spans="1:8" ht="16.05" customHeight="1" x14ac:dyDescent="0.3">
      <c r="A354" s="16"/>
      <c r="B354" s="16"/>
      <c r="C354" s="16"/>
      <c r="D354" s="16"/>
      <c r="E354" s="16"/>
      <c r="F354" s="16"/>
      <c r="G354" s="16"/>
      <c r="H354" s="17"/>
    </row>
    <row r="355" spans="1:8" ht="16.05" customHeight="1" x14ac:dyDescent="0.3">
      <c r="A355" s="16"/>
      <c r="B355" s="16"/>
      <c r="C355" s="16"/>
      <c r="D355" s="16"/>
      <c r="E355" s="16"/>
      <c r="F355" s="16"/>
      <c r="G355" s="16"/>
      <c r="H355" s="17"/>
    </row>
    <row r="356" spans="1:8" ht="16.05" customHeight="1" x14ac:dyDescent="0.3">
      <c r="A356" s="16"/>
      <c r="B356" s="16"/>
      <c r="C356" s="16"/>
      <c r="D356" s="16"/>
      <c r="E356" s="16"/>
      <c r="F356" s="16"/>
      <c r="G356" s="16"/>
      <c r="H356" s="17"/>
    </row>
    <row r="357" spans="1:8" ht="16.05" customHeight="1" x14ac:dyDescent="0.3">
      <c r="A357" s="16"/>
      <c r="B357" s="16"/>
      <c r="C357" s="16"/>
      <c r="D357" s="16"/>
      <c r="E357" s="16"/>
      <c r="F357" s="16"/>
      <c r="G357" s="16"/>
      <c r="H357" s="17"/>
    </row>
    <row r="358" spans="1:8" ht="16.05" customHeight="1" x14ac:dyDescent="0.3">
      <c r="A358" s="16"/>
      <c r="B358" s="16"/>
      <c r="C358" s="16"/>
      <c r="D358" s="16"/>
      <c r="E358" s="16"/>
      <c r="F358" s="16"/>
      <c r="G358" s="16"/>
      <c r="H358" s="17"/>
    </row>
    <row r="359" spans="1:8" ht="16.05" customHeight="1" x14ac:dyDescent="0.3">
      <c r="A359" s="16"/>
      <c r="B359" s="16"/>
      <c r="C359" s="16"/>
      <c r="D359" s="16"/>
      <c r="E359" s="16"/>
      <c r="F359" s="16"/>
      <c r="G359" s="16"/>
      <c r="H359" s="17"/>
    </row>
    <row r="360" spans="1:8" ht="16.05" customHeight="1" x14ac:dyDescent="0.3">
      <c r="A360" s="16"/>
      <c r="B360" s="16"/>
      <c r="C360" s="16"/>
      <c r="D360" s="16"/>
      <c r="E360" s="16"/>
      <c r="F360" s="16"/>
      <c r="G360" s="16"/>
      <c r="H360" s="17"/>
    </row>
    <row r="361" spans="1:8" ht="16.05" customHeight="1" x14ac:dyDescent="0.3">
      <c r="A361" s="16"/>
      <c r="B361" s="16"/>
      <c r="C361" s="16"/>
      <c r="D361" s="16"/>
      <c r="E361" s="16"/>
      <c r="F361" s="16"/>
      <c r="G361" s="16"/>
      <c r="H361" s="17"/>
    </row>
    <row r="362" spans="1:8" ht="16.05" customHeight="1" x14ac:dyDescent="0.3">
      <c r="A362" s="16"/>
      <c r="B362" s="16"/>
      <c r="C362" s="16"/>
      <c r="D362" s="16"/>
      <c r="E362" s="16"/>
      <c r="F362" s="16"/>
      <c r="G362" s="16"/>
      <c r="H362" s="17"/>
    </row>
    <row r="363" spans="1:8" ht="16.05" customHeight="1" x14ac:dyDescent="0.3">
      <c r="A363" s="16"/>
      <c r="B363" s="16"/>
      <c r="C363" s="16"/>
      <c r="D363" s="16"/>
      <c r="E363" s="16"/>
      <c r="F363" s="16"/>
      <c r="G363" s="16"/>
      <c r="H363" s="17"/>
    </row>
    <row r="364" spans="1:8" ht="16.05" customHeight="1" x14ac:dyDescent="0.3">
      <c r="A364" s="16"/>
      <c r="B364" s="16"/>
      <c r="C364" s="16"/>
      <c r="D364" s="16"/>
      <c r="E364" s="16"/>
      <c r="F364" s="16"/>
      <c r="G364" s="16"/>
      <c r="H364" s="17"/>
    </row>
    <row r="365" spans="1:8" ht="16.05" customHeight="1" x14ac:dyDescent="0.3">
      <c r="A365" s="16"/>
      <c r="B365" s="16"/>
      <c r="C365" s="16"/>
      <c r="D365" s="16"/>
      <c r="E365" s="16"/>
      <c r="F365" s="16"/>
      <c r="G365" s="16"/>
      <c r="H365" s="17"/>
    </row>
    <row r="366" spans="1:8" ht="16.05" customHeight="1" x14ac:dyDescent="0.3">
      <c r="A366" s="16"/>
      <c r="B366" s="16"/>
      <c r="C366" s="16"/>
      <c r="D366" s="16"/>
      <c r="E366" s="16"/>
      <c r="F366" s="16"/>
      <c r="G366" s="16"/>
      <c r="H366" s="17"/>
    </row>
    <row r="367" spans="1:8" ht="16.05" customHeight="1" x14ac:dyDescent="0.3">
      <c r="A367" s="16"/>
      <c r="B367" s="16"/>
      <c r="C367" s="16"/>
      <c r="D367" s="16"/>
      <c r="E367" s="16"/>
      <c r="F367" s="16"/>
      <c r="G367" s="16"/>
      <c r="H367" s="17"/>
    </row>
    <row r="368" spans="1:8" ht="16.05" customHeight="1" x14ac:dyDescent="0.3">
      <c r="A368" s="16"/>
      <c r="B368" s="16"/>
      <c r="C368" s="16"/>
      <c r="D368" s="16"/>
      <c r="E368" s="16"/>
      <c r="F368" s="16"/>
      <c r="G368" s="16"/>
      <c r="H368" s="17"/>
    </row>
    <row r="369" spans="1:8" ht="16.05" customHeight="1" x14ac:dyDescent="0.3">
      <c r="A369" s="16"/>
      <c r="B369" s="16"/>
      <c r="C369" s="16"/>
      <c r="D369" s="16"/>
      <c r="E369" s="16"/>
      <c r="F369" s="16"/>
      <c r="G369" s="16"/>
      <c r="H369" s="17"/>
    </row>
    <row r="370" spans="1:8" ht="16.05" customHeight="1" x14ac:dyDescent="0.3">
      <c r="A370" s="16"/>
      <c r="B370" s="16"/>
      <c r="C370" s="16"/>
      <c r="D370" s="16"/>
      <c r="E370" s="16"/>
      <c r="F370" s="16"/>
      <c r="G370" s="16"/>
      <c r="H370" s="17"/>
    </row>
    <row r="371" spans="1:8" ht="16.05" customHeight="1" x14ac:dyDescent="0.3">
      <c r="A371" s="16"/>
      <c r="B371" s="16"/>
      <c r="C371" s="16"/>
      <c r="D371" s="16"/>
      <c r="E371" s="16"/>
      <c r="F371" s="16"/>
      <c r="G371" s="16"/>
      <c r="H371" s="17"/>
    </row>
    <row r="372" spans="1:8" ht="16.05" customHeight="1" x14ac:dyDescent="0.3">
      <c r="A372" s="16"/>
      <c r="B372" s="16"/>
      <c r="C372" s="16"/>
      <c r="D372" s="16"/>
      <c r="E372" s="16"/>
      <c r="F372" s="16"/>
      <c r="G372" s="16"/>
      <c r="H372" s="17"/>
    </row>
    <row r="373" spans="1:8" ht="16.05" customHeight="1" x14ac:dyDescent="0.3">
      <c r="A373" s="16"/>
      <c r="B373" s="16"/>
      <c r="C373" s="16"/>
      <c r="D373" s="16"/>
      <c r="E373" s="16"/>
      <c r="F373" s="16"/>
      <c r="G373" s="16"/>
      <c r="H373" s="17"/>
    </row>
    <row r="374" spans="1:8" ht="16.05" customHeight="1" x14ac:dyDescent="0.3">
      <c r="A374" s="16"/>
      <c r="B374" s="16"/>
      <c r="C374" s="16"/>
      <c r="D374" s="16"/>
      <c r="E374" s="16"/>
      <c r="F374" s="16"/>
      <c r="G374" s="16"/>
      <c r="H374" s="17"/>
    </row>
    <row r="375" spans="1:8" ht="16.05" customHeight="1" x14ac:dyDescent="0.3">
      <c r="A375" s="16"/>
      <c r="B375" s="16"/>
      <c r="C375" s="16"/>
      <c r="D375" s="16"/>
      <c r="E375" s="16"/>
      <c r="F375" s="16"/>
      <c r="G375" s="16"/>
      <c r="H375" s="17"/>
    </row>
    <row r="376" spans="1:8" ht="16.05" customHeight="1" x14ac:dyDescent="0.3">
      <c r="A376" s="16"/>
      <c r="B376" s="16"/>
      <c r="C376" s="16"/>
      <c r="D376" s="16"/>
      <c r="E376" s="16"/>
      <c r="F376" s="16"/>
      <c r="G376" s="16"/>
      <c r="H376" s="17"/>
    </row>
    <row r="377" spans="1:8" ht="16.05" customHeight="1" x14ac:dyDescent="0.3">
      <c r="A377" s="16"/>
      <c r="B377" s="16"/>
      <c r="C377" s="16"/>
      <c r="D377" s="16"/>
      <c r="E377" s="16"/>
      <c r="F377" s="16"/>
      <c r="G377" s="16"/>
      <c r="H377" s="17"/>
    </row>
    <row r="378" spans="1:8" ht="16.05" customHeight="1" x14ac:dyDescent="0.3">
      <c r="A378" s="16"/>
      <c r="B378" s="16"/>
      <c r="C378" s="16"/>
      <c r="D378" s="16"/>
      <c r="E378" s="16"/>
      <c r="F378" s="16"/>
      <c r="G378" s="16"/>
      <c r="H378" s="17"/>
    </row>
    <row r="379" spans="1:8" ht="16.05" customHeight="1" x14ac:dyDescent="0.3">
      <c r="A379" s="16"/>
      <c r="B379" s="16"/>
      <c r="C379" s="16"/>
      <c r="D379" s="16"/>
      <c r="E379" s="16"/>
      <c r="F379" s="16"/>
      <c r="G379" s="16"/>
      <c r="H379" s="17"/>
    </row>
    <row r="380" spans="1:8" ht="16.05" customHeight="1" x14ac:dyDescent="0.3">
      <c r="A380" s="16"/>
      <c r="B380" s="16"/>
      <c r="C380" s="16"/>
      <c r="D380" s="16"/>
      <c r="E380" s="16"/>
      <c r="F380" s="16"/>
      <c r="G380" s="16"/>
      <c r="H380" s="17"/>
    </row>
    <row r="381" spans="1:8" ht="16.05" customHeight="1" x14ac:dyDescent="0.3">
      <c r="A381" s="16"/>
      <c r="B381" s="16"/>
      <c r="C381" s="16"/>
      <c r="D381" s="16"/>
      <c r="E381" s="16"/>
      <c r="F381" s="16"/>
      <c r="G381" s="16"/>
      <c r="H381" s="17"/>
    </row>
    <row r="382" spans="1:8" ht="16.05" customHeight="1" x14ac:dyDescent="0.3">
      <c r="A382" s="16"/>
      <c r="B382" s="16"/>
      <c r="C382" s="16"/>
      <c r="D382" s="16"/>
      <c r="E382" s="16"/>
      <c r="F382" s="16"/>
      <c r="G382" s="16"/>
      <c r="H382" s="17"/>
    </row>
    <row r="383" spans="1:8" ht="16.05" customHeight="1" x14ac:dyDescent="0.3">
      <c r="A383" s="16"/>
      <c r="B383" s="16"/>
      <c r="C383" s="16"/>
      <c r="D383" s="16"/>
      <c r="E383" s="16"/>
      <c r="F383" s="16"/>
      <c r="G383" s="16"/>
      <c r="H383" s="17"/>
    </row>
    <row r="384" spans="1:8" ht="16.05" customHeight="1" x14ac:dyDescent="0.3">
      <c r="A384" s="16"/>
      <c r="B384" s="16"/>
      <c r="C384" s="16"/>
      <c r="D384" s="16"/>
      <c r="E384" s="16"/>
      <c r="F384" s="16"/>
      <c r="G384" s="16"/>
      <c r="H384" s="17"/>
    </row>
    <row r="385" spans="1:8" ht="16.05" customHeight="1" x14ac:dyDescent="0.3">
      <c r="A385" s="16"/>
      <c r="B385" s="16"/>
      <c r="C385" s="16"/>
      <c r="D385" s="16"/>
      <c r="E385" s="16"/>
      <c r="F385" s="16"/>
      <c r="G385" s="16"/>
      <c r="H385" s="17"/>
    </row>
    <row r="386" spans="1:8" ht="16.05" customHeight="1" x14ac:dyDescent="0.3">
      <c r="A386" s="16"/>
      <c r="B386" s="16"/>
      <c r="C386" s="16"/>
      <c r="D386" s="16"/>
      <c r="E386" s="16"/>
      <c r="F386" s="16"/>
      <c r="G386" s="16"/>
      <c r="H386" s="17"/>
    </row>
    <row r="387" spans="1:8" ht="16.05" customHeight="1" x14ac:dyDescent="0.3">
      <c r="A387" s="16"/>
      <c r="B387" s="16"/>
      <c r="C387" s="16"/>
      <c r="D387" s="16"/>
      <c r="E387" s="16"/>
      <c r="F387" s="16"/>
      <c r="G387" s="16"/>
      <c r="H387" s="17"/>
    </row>
    <row r="388" spans="1:8" ht="16.05" customHeight="1" x14ac:dyDescent="0.3">
      <c r="A388" s="16"/>
      <c r="B388" s="16"/>
      <c r="C388" s="16"/>
      <c r="D388" s="16"/>
      <c r="E388" s="16"/>
      <c r="F388" s="16"/>
      <c r="G388" s="16"/>
      <c r="H388" s="17"/>
    </row>
    <row r="389" spans="1:8" ht="16.05" customHeight="1" x14ac:dyDescent="0.3">
      <c r="A389" s="16"/>
      <c r="B389" s="16"/>
      <c r="C389" s="16"/>
      <c r="D389" s="16"/>
      <c r="E389" s="16"/>
      <c r="F389" s="16"/>
      <c r="G389" s="16"/>
      <c r="H389" s="17"/>
    </row>
    <row r="390" spans="1:8" ht="16.05" customHeight="1" x14ac:dyDescent="0.3">
      <c r="A390" s="16"/>
      <c r="B390" s="16"/>
      <c r="C390" s="16"/>
      <c r="D390" s="16"/>
      <c r="E390" s="16"/>
      <c r="F390" s="16"/>
      <c r="G390" s="16"/>
      <c r="H390" s="17"/>
    </row>
    <row r="391" spans="1:8" ht="16.05" customHeight="1" x14ac:dyDescent="0.3">
      <c r="A391" s="16"/>
      <c r="B391" s="16"/>
      <c r="C391" s="16"/>
      <c r="D391" s="16"/>
      <c r="E391" s="16"/>
      <c r="F391" s="16"/>
      <c r="G391" s="16"/>
      <c r="H391" s="17"/>
    </row>
    <row r="392" spans="1:8" ht="16.05" customHeight="1" x14ac:dyDescent="0.3">
      <c r="A392" s="16"/>
      <c r="B392" s="16"/>
      <c r="C392" s="16"/>
      <c r="D392" s="16"/>
      <c r="E392" s="16"/>
      <c r="F392" s="16"/>
      <c r="G392" s="16"/>
      <c r="H392" s="17"/>
    </row>
    <row r="393" spans="1:8" ht="16.05" customHeight="1" x14ac:dyDescent="0.3">
      <c r="A393" s="16"/>
      <c r="B393" s="16"/>
      <c r="C393" s="16"/>
      <c r="D393" s="16"/>
      <c r="E393" s="16"/>
      <c r="F393" s="16"/>
      <c r="G393" s="16"/>
      <c r="H393" s="17"/>
    </row>
    <row r="394" spans="1:8" ht="16.05" customHeight="1" x14ac:dyDescent="0.3">
      <c r="A394" s="16"/>
      <c r="B394" s="16"/>
      <c r="C394" s="16"/>
      <c r="D394" s="16"/>
      <c r="E394" s="16"/>
      <c r="F394" s="16"/>
      <c r="G394" s="16"/>
      <c r="H394" s="17"/>
    </row>
    <row r="395" spans="1:8" ht="16.05" customHeight="1" x14ac:dyDescent="0.3">
      <c r="A395" s="16"/>
      <c r="B395" s="16"/>
      <c r="C395" s="16"/>
      <c r="D395" s="16"/>
      <c r="E395" s="16"/>
      <c r="F395" s="16"/>
      <c r="G395" s="16"/>
      <c r="H395" s="17"/>
    </row>
    <row r="396" spans="1:8" ht="16.05" customHeight="1" x14ac:dyDescent="0.3">
      <c r="A396" s="16"/>
      <c r="B396" s="16"/>
      <c r="C396" s="16"/>
      <c r="D396" s="16"/>
      <c r="E396" s="16"/>
      <c r="F396" s="16"/>
      <c r="G396" s="16"/>
      <c r="H396" s="17"/>
    </row>
    <row r="397" spans="1:8" ht="16.05" customHeight="1" x14ac:dyDescent="0.3">
      <c r="A397" s="16"/>
      <c r="B397" s="16"/>
      <c r="C397" s="16"/>
      <c r="D397" s="16"/>
      <c r="E397" s="16"/>
      <c r="F397" s="16"/>
      <c r="G397" s="16"/>
      <c r="H397" s="17"/>
    </row>
    <row r="398" spans="1:8" ht="16.05" customHeight="1" x14ac:dyDescent="0.3">
      <c r="A398" s="16"/>
      <c r="B398" s="16"/>
      <c r="C398" s="16"/>
      <c r="D398" s="16"/>
      <c r="E398" s="16"/>
      <c r="F398" s="16"/>
      <c r="G398" s="16"/>
      <c r="H398" s="17"/>
    </row>
    <row r="399" spans="1:8" ht="16.05" customHeight="1" x14ac:dyDescent="0.3">
      <c r="A399" s="16"/>
      <c r="B399" s="16"/>
      <c r="C399" s="16"/>
      <c r="D399" s="16"/>
      <c r="E399" s="16"/>
      <c r="F399" s="16"/>
      <c r="G399" s="16"/>
      <c r="H399" s="17"/>
    </row>
    <row r="400" spans="1:8" ht="16.05" customHeight="1" x14ac:dyDescent="0.3">
      <c r="A400" s="16"/>
      <c r="B400" s="16"/>
      <c r="C400" s="16"/>
      <c r="D400" s="16"/>
      <c r="E400" s="16"/>
      <c r="F400" s="16"/>
      <c r="G400" s="16"/>
      <c r="H400" s="17"/>
    </row>
    <row r="401" spans="1:8" ht="16.05" customHeight="1" x14ac:dyDescent="0.3">
      <c r="A401" s="16"/>
      <c r="B401" s="16"/>
      <c r="C401" s="16"/>
      <c r="D401" s="16"/>
      <c r="E401" s="16"/>
      <c r="F401" s="16"/>
      <c r="G401" s="16"/>
      <c r="H401" s="17"/>
    </row>
    <row r="402" spans="1:8" ht="16.05" customHeight="1" x14ac:dyDescent="0.3">
      <c r="A402" s="16"/>
      <c r="B402" s="16"/>
      <c r="C402" s="16"/>
      <c r="D402" s="16"/>
      <c r="E402" s="16"/>
      <c r="F402" s="16"/>
      <c r="G402" s="16"/>
      <c r="H402" s="17"/>
    </row>
    <row r="403" spans="1:8" ht="16.05" customHeight="1" x14ac:dyDescent="0.3">
      <c r="A403" s="16"/>
      <c r="B403" s="16"/>
      <c r="C403" s="16"/>
      <c r="D403" s="16"/>
      <c r="E403" s="16"/>
      <c r="F403" s="16"/>
      <c r="G403" s="16"/>
      <c r="H403" s="17"/>
    </row>
    <row r="404" spans="1:8" ht="16.05" customHeight="1" x14ac:dyDescent="0.3">
      <c r="A404" s="16"/>
      <c r="B404" s="16"/>
      <c r="C404" s="16"/>
      <c r="D404" s="16"/>
      <c r="E404" s="16"/>
      <c r="F404" s="16"/>
      <c r="G404" s="16"/>
      <c r="H404" s="17"/>
    </row>
    <row r="405" spans="1:8" ht="16.05" customHeight="1" x14ac:dyDescent="0.3">
      <c r="A405" s="16"/>
      <c r="B405" s="16"/>
      <c r="C405" s="16"/>
      <c r="D405" s="16"/>
      <c r="E405" s="16"/>
      <c r="F405" s="16"/>
      <c r="G405" s="16"/>
      <c r="H405" s="17"/>
    </row>
    <row r="406" spans="1:8" ht="16.05" customHeight="1" x14ac:dyDescent="0.3">
      <c r="A406" s="16"/>
      <c r="B406" s="16"/>
      <c r="C406" s="16"/>
      <c r="D406" s="16"/>
      <c r="E406" s="16"/>
      <c r="F406" s="16"/>
      <c r="G406" s="16"/>
      <c r="H406" s="17"/>
    </row>
    <row r="407" spans="1:8" ht="16.05" customHeight="1" x14ac:dyDescent="0.3">
      <c r="A407" s="16"/>
      <c r="B407" s="16"/>
      <c r="C407" s="16"/>
      <c r="D407" s="16"/>
      <c r="E407" s="16"/>
      <c r="F407" s="16"/>
      <c r="G407" s="16"/>
      <c r="H407" s="17"/>
    </row>
    <row r="408" spans="1:8" ht="16.05" customHeight="1" x14ac:dyDescent="0.3">
      <c r="A408" s="16"/>
      <c r="B408" s="16"/>
      <c r="C408" s="16"/>
      <c r="D408" s="16"/>
      <c r="E408" s="16"/>
      <c r="F408" s="16"/>
      <c r="G408" s="16"/>
      <c r="H408" s="17"/>
    </row>
    <row r="409" spans="1:8" ht="16.05" customHeight="1" x14ac:dyDescent="0.3">
      <c r="A409" s="16"/>
      <c r="B409" s="16"/>
      <c r="C409" s="16"/>
      <c r="D409" s="16"/>
      <c r="E409" s="16"/>
      <c r="F409" s="16"/>
      <c r="G409" s="16"/>
      <c r="H409" s="17"/>
    </row>
    <row r="410" spans="1:8" ht="16.05" customHeight="1" x14ac:dyDescent="0.3">
      <c r="A410" s="16"/>
      <c r="B410" s="16"/>
      <c r="C410" s="16"/>
      <c r="D410" s="16"/>
      <c r="E410" s="16"/>
      <c r="F410" s="16"/>
      <c r="G410" s="16"/>
      <c r="H410" s="17"/>
    </row>
    <row r="411" spans="1:8" ht="16.05" customHeight="1" x14ac:dyDescent="0.3">
      <c r="A411" s="16"/>
      <c r="B411" s="16"/>
      <c r="C411" s="16"/>
      <c r="D411" s="16"/>
      <c r="E411" s="16"/>
      <c r="F411" s="16"/>
      <c r="G411" s="16"/>
      <c r="H411" s="17"/>
    </row>
    <row r="412" spans="1:8" ht="16.05" customHeight="1" x14ac:dyDescent="0.3">
      <c r="A412" s="16"/>
      <c r="B412" s="16"/>
      <c r="C412" s="16"/>
      <c r="D412" s="16"/>
      <c r="E412" s="16"/>
      <c r="F412" s="16"/>
      <c r="G412" s="16"/>
      <c r="H412" s="17"/>
    </row>
    <row r="413" spans="1:8" ht="16.05" customHeight="1" x14ac:dyDescent="0.3">
      <c r="A413" s="16"/>
      <c r="B413" s="16"/>
      <c r="C413" s="16"/>
      <c r="D413" s="16"/>
      <c r="E413" s="16"/>
      <c r="F413" s="16"/>
      <c r="G413" s="16"/>
      <c r="H413" s="17"/>
    </row>
    <row r="414" spans="1:8" ht="16.05" customHeight="1" x14ac:dyDescent="0.3">
      <c r="A414" s="16"/>
      <c r="B414" s="16"/>
      <c r="C414" s="16"/>
      <c r="D414" s="16"/>
      <c r="E414" s="16"/>
      <c r="F414" s="16"/>
      <c r="G414" s="16"/>
      <c r="H414" s="17"/>
    </row>
    <row r="415" spans="1:8" ht="16.05" customHeight="1" x14ac:dyDescent="0.3">
      <c r="A415" s="16"/>
      <c r="B415" s="16"/>
      <c r="C415" s="16"/>
      <c r="D415" s="16"/>
      <c r="E415" s="16"/>
      <c r="F415" s="16"/>
      <c r="G415" s="16"/>
      <c r="H415" s="17"/>
    </row>
    <row r="416" spans="1:8" ht="16.05" customHeight="1" x14ac:dyDescent="0.3">
      <c r="A416" s="16"/>
      <c r="B416" s="16"/>
      <c r="C416" s="16"/>
      <c r="D416" s="16"/>
      <c r="E416" s="16"/>
      <c r="F416" s="16"/>
      <c r="G416" s="16"/>
      <c r="H416" s="17"/>
    </row>
    <row r="417" spans="1:8" ht="16.05" customHeight="1" x14ac:dyDescent="0.3">
      <c r="A417" s="16"/>
      <c r="B417" s="16"/>
      <c r="C417" s="16"/>
      <c r="D417" s="16"/>
      <c r="E417" s="16"/>
      <c r="F417" s="16"/>
      <c r="G417" s="16"/>
      <c r="H417" s="17"/>
    </row>
    <row r="418" spans="1:8" ht="16.05" customHeight="1" x14ac:dyDescent="0.3">
      <c r="A418" s="16"/>
      <c r="B418" s="16"/>
      <c r="C418" s="16"/>
      <c r="D418" s="16"/>
      <c r="E418" s="16"/>
      <c r="F418" s="16"/>
      <c r="G418" s="16"/>
      <c r="H418" s="17"/>
    </row>
    <row r="419" spans="1:8" ht="16.05" customHeight="1" x14ac:dyDescent="0.3">
      <c r="A419" s="16"/>
      <c r="B419" s="16"/>
      <c r="C419" s="16"/>
      <c r="D419" s="16"/>
      <c r="E419" s="16"/>
      <c r="F419" s="16"/>
      <c r="G419" s="16"/>
      <c r="H419" s="17"/>
    </row>
    <row r="420" spans="1:8" ht="16.05" customHeight="1" x14ac:dyDescent="0.3">
      <c r="A420" s="16"/>
      <c r="B420" s="16"/>
      <c r="C420" s="16"/>
      <c r="D420" s="16"/>
      <c r="E420" s="16"/>
      <c r="F420" s="16"/>
      <c r="G420" s="16"/>
      <c r="H420" s="17"/>
    </row>
    <row r="421" spans="1:8" ht="16.05" customHeight="1" x14ac:dyDescent="0.3">
      <c r="A421" s="16"/>
      <c r="B421" s="16"/>
      <c r="C421" s="16"/>
      <c r="D421" s="16"/>
      <c r="E421" s="16"/>
      <c r="F421" s="16"/>
      <c r="G421" s="16"/>
      <c r="H421" s="17"/>
    </row>
    <row r="422" spans="1:8" ht="16.05" customHeight="1" x14ac:dyDescent="0.3">
      <c r="A422" s="16"/>
      <c r="B422" s="16"/>
      <c r="C422" s="16"/>
      <c r="D422" s="16"/>
      <c r="E422" s="16"/>
      <c r="F422" s="16"/>
      <c r="G422" s="16"/>
      <c r="H422" s="17"/>
    </row>
    <row r="423" spans="1:8" ht="16.05" customHeight="1" x14ac:dyDescent="0.3">
      <c r="A423" s="16"/>
      <c r="B423" s="16"/>
      <c r="C423" s="16"/>
      <c r="D423" s="16"/>
      <c r="E423" s="16"/>
      <c r="F423" s="16"/>
      <c r="G423" s="16"/>
      <c r="H423" s="17"/>
    </row>
    <row r="424" spans="1:8" ht="16.05" customHeight="1" x14ac:dyDescent="0.3">
      <c r="A424" s="16"/>
      <c r="B424" s="16"/>
      <c r="C424" s="16"/>
      <c r="D424" s="16"/>
      <c r="E424" s="16"/>
      <c r="F424" s="16"/>
      <c r="G424" s="16"/>
      <c r="H424" s="17"/>
    </row>
    <row r="425" spans="1:8" ht="16.05" customHeight="1" x14ac:dyDescent="0.3">
      <c r="A425" s="16"/>
      <c r="B425" s="16"/>
      <c r="C425" s="16"/>
      <c r="D425" s="16"/>
      <c r="E425" s="16"/>
      <c r="F425" s="16"/>
      <c r="G425" s="16"/>
      <c r="H425" s="17"/>
    </row>
    <row r="426" spans="1:8" ht="16.05" customHeight="1" x14ac:dyDescent="0.3">
      <c r="A426" s="16"/>
      <c r="B426" s="16"/>
      <c r="C426" s="16"/>
      <c r="D426" s="16"/>
      <c r="E426" s="16"/>
      <c r="F426" s="16"/>
      <c r="G426" s="16"/>
      <c r="H426" s="17"/>
    </row>
    <row r="427" spans="1:8" ht="16.05" customHeight="1" x14ac:dyDescent="0.3">
      <c r="A427" s="16"/>
      <c r="B427" s="16"/>
      <c r="C427" s="16"/>
      <c r="D427" s="16"/>
      <c r="E427" s="16"/>
      <c r="F427" s="16"/>
      <c r="G427" s="16"/>
      <c r="H427" s="17"/>
    </row>
    <row r="428" spans="1:8" ht="16.05" customHeight="1" x14ac:dyDescent="0.3">
      <c r="A428" s="16"/>
      <c r="B428" s="16"/>
      <c r="C428" s="16"/>
      <c r="D428" s="16"/>
      <c r="E428" s="16"/>
      <c r="F428" s="16"/>
      <c r="G428" s="16"/>
      <c r="H428" s="17"/>
    </row>
    <row r="429" spans="1:8" ht="16.05" customHeight="1" x14ac:dyDescent="0.3">
      <c r="A429" s="16"/>
      <c r="B429" s="16"/>
      <c r="C429" s="16"/>
      <c r="D429" s="16"/>
      <c r="E429" s="16"/>
      <c r="F429" s="16"/>
      <c r="G429" s="16"/>
      <c r="H429" s="17"/>
    </row>
    <row r="430" spans="1:8" ht="16.05" customHeight="1" x14ac:dyDescent="0.3">
      <c r="A430" s="16"/>
      <c r="B430" s="16"/>
      <c r="C430" s="16"/>
      <c r="D430" s="16"/>
      <c r="E430" s="16"/>
      <c r="F430" s="16"/>
      <c r="G430" s="16"/>
      <c r="H430" s="17"/>
    </row>
    <row r="431" spans="1:8" ht="16.05" customHeight="1" x14ac:dyDescent="0.3">
      <c r="A431" s="16"/>
      <c r="B431" s="16"/>
      <c r="C431" s="16"/>
      <c r="D431" s="16"/>
      <c r="E431" s="16"/>
      <c r="F431" s="16"/>
      <c r="G431" s="16"/>
      <c r="H431" s="17"/>
    </row>
    <row r="432" spans="1:8" ht="16.05" customHeight="1" x14ac:dyDescent="0.3">
      <c r="A432" s="16"/>
      <c r="B432" s="16"/>
      <c r="C432" s="16"/>
      <c r="D432" s="16"/>
      <c r="E432" s="16"/>
      <c r="F432" s="16"/>
      <c r="G432" s="16"/>
      <c r="H432" s="17"/>
    </row>
    <row r="433" spans="1:8" ht="16.05" customHeight="1" x14ac:dyDescent="0.3">
      <c r="A433" s="16"/>
      <c r="B433" s="16"/>
      <c r="C433" s="16"/>
      <c r="D433" s="16"/>
      <c r="E433" s="16"/>
      <c r="F433" s="16"/>
      <c r="G433" s="16"/>
      <c r="H433" s="17"/>
    </row>
    <row r="434" spans="1:8" ht="16.05" customHeight="1" x14ac:dyDescent="0.3">
      <c r="A434" s="16"/>
      <c r="B434" s="16"/>
      <c r="C434" s="16"/>
      <c r="D434" s="16"/>
      <c r="E434" s="16"/>
      <c r="F434" s="16"/>
      <c r="G434" s="16"/>
      <c r="H434" s="17"/>
    </row>
    <row r="435" spans="1:8" ht="16.05" customHeight="1" x14ac:dyDescent="0.3">
      <c r="A435" s="16"/>
      <c r="B435" s="16"/>
      <c r="C435" s="16"/>
      <c r="D435" s="16"/>
      <c r="E435" s="16"/>
      <c r="F435" s="16"/>
      <c r="G435" s="16"/>
      <c r="H435" s="17"/>
    </row>
    <row r="436" spans="1:8" ht="16.05" customHeight="1" x14ac:dyDescent="0.3">
      <c r="A436" s="16"/>
      <c r="B436" s="16"/>
      <c r="C436" s="16"/>
      <c r="D436" s="16"/>
      <c r="E436" s="16"/>
      <c r="F436" s="16"/>
      <c r="G436" s="16"/>
      <c r="H436" s="17"/>
    </row>
    <row r="437" spans="1:8" ht="16.05" customHeight="1" x14ac:dyDescent="0.3">
      <c r="A437" s="16"/>
      <c r="B437" s="16"/>
      <c r="C437" s="16"/>
      <c r="D437" s="16"/>
      <c r="E437" s="16"/>
      <c r="F437" s="16"/>
      <c r="G437" s="16"/>
      <c r="H437" s="17"/>
    </row>
    <row r="438" spans="1:8" ht="16.05" customHeight="1" x14ac:dyDescent="0.3">
      <c r="A438" s="16"/>
      <c r="B438" s="16"/>
      <c r="C438" s="16"/>
      <c r="D438" s="16"/>
      <c r="E438" s="16"/>
      <c r="F438" s="16"/>
      <c r="G438" s="16"/>
      <c r="H438" s="17"/>
    </row>
    <row r="439" spans="1:8" ht="16.05" customHeight="1" x14ac:dyDescent="0.3">
      <c r="A439" s="16"/>
      <c r="B439" s="16"/>
      <c r="C439" s="16"/>
      <c r="D439" s="16"/>
      <c r="E439" s="16"/>
      <c r="F439" s="16"/>
      <c r="G439" s="16"/>
      <c r="H439" s="17"/>
    </row>
    <row r="440" spans="1:8" ht="16.05" customHeight="1" x14ac:dyDescent="0.3">
      <c r="A440" s="16"/>
      <c r="B440" s="16"/>
      <c r="C440" s="16"/>
      <c r="D440" s="16"/>
      <c r="E440" s="16"/>
      <c r="F440" s="16"/>
      <c r="G440" s="16"/>
      <c r="H440" s="17"/>
    </row>
    <row r="441" spans="1:8" ht="16.05" customHeight="1" x14ac:dyDescent="0.3">
      <c r="A441" s="16"/>
      <c r="B441" s="16"/>
      <c r="C441" s="16"/>
      <c r="D441" s="16"/>
      <c r="E441" s="16"/>
      <c r="F441" s="16"/>
      <c r="G441" s="16"/>
      <c r="H441" s="17"/>
    </row>
    <row r="442" spans="1:8" ht="16.05" customHeight="1" x14ac:dyDescent="0.3">
      <c r="A442" s="16"/>
      <c r="B442" s="16"/>
      <c r="C442" s="16"/>
      <c r="D442" s="16"/>
      <c r="E442" s="16"/>
      <c r="F442" s="16"/>
      <c r="G442" s="16"/>
      <c r="H442" s="17"/>
    </row>
    <row r="443" spans="1:8" ht="16.05" customHeight="1" x14ac:dyDescent="0.3">
      <c r="A443" s="16"/>
      <c r="B443" s="16"/>
      <c r="C443" s="16"/>
      <c r="D443" s="16"/>
      <c r="E443" s="16"/>
      <c r="F443" s="16"/>
      <c r="G443" s="16"/>
      <c r="H443" s="17"/>
    </row>
    <row r="444" spans="1:8" ht="16.05" customHeight="1" x14ac:dyDescent="0.3">
      <c r="A444" s="16"/>
      <c r="B444" s="16"/>
      <c r="C444" s="16"/>
      <c r="D444" s="16"/>
      <c r="E444" s="16"/>
      <c r="F444" s="16"/>
      <c r="G444" s="16"/>
      <c r="H444" s="17"/>
    </row>
    <row r="445" spans="1:8" ht="16.05" customHeight="1" x14ac:dyDescent="0.3">
      <c r="A445" s="16"/>
      <c r="B445" s="16"/>
      <c r="C445" s="16"/>
      <c r="D445" s="16"/>
      <c r="E445" s="16"/>
      <c r="F445" s="16"/>
      <c r="G445" s="16"/>
      <c r="H445" s="17"/>
    </row>
    <row r="446" spans="1:8" ht="16.05" customHeight="1" x14ac:dyDescent="0.3">
      <c r="A446" s="16"/>
      <c r="B446" s="16"/>
      <c r="C446" s="16"/>
      <c r="D446" s="16"/>
      <c r="E446" s="16"/>
      <c r="F446" s="16"/>
      <c r="G446" s="16"/>
      <c r="H446" s="17"/>
    </row>
    <row r="447" spans="1:8" ht="16.05" customHeight="1" x14ac:dyDescent="0.3">
      <c r="A447" s="16"/>
      <c r="B447" s="16"/>
      <c r="C447" s="16"/>
      <c r="D447" s="16"/>
      <c r="E447" s="16"/>
      <c r="F447" s="16"/>
      <c r="G447" s="16"/>
      <c r="H447" s="17"/>
    </row>
    <row r="448" spans="1:8" ht="16.05" customHeight="1" x14ac:dyDescent="0.3">
      <c r="A448" s="16"/>
      <c r="B448" s="16"/>
      <c r="C448" s="16"/>
      <c r="D448" s="16"/>
      <c r="E448" s="16"/>
      <c r="F448" s="16"/>
      <c r="G448" s="16"/>
      <c r="H448" s="17"/>
    </row>
    <row r="449" spans="1:8" ht="16.05" customHeight="1" x14ac:dyDescent="0.3">
      <c r="A449" s="16"/>
      <c r="B449" s="16"/>
      <c r="C449" s="16"/>
      <c r="D449" s="16"/>
      <c r="E449" s="16"/>
      <c r="F449" s="16"/>
      <c r="G449" s="16"/>
      <c r="H449" s="17"/>
    </row>
    <row r="450" spans="1:8" ht="16.05" customHeight="1" x14ac:dyDescent="0.3">
      <c r="A450" s="16"/>
      <c r="B450" s="16"/>
      <c r="C450" s="16"/>
      <c r="D450" s="16"/>
      <c r="E450" s="16"/>
      <c r="F450" s="16"/>
      <c r="G450" s="16"/>
      <c r="H450" s="17"/>
    </row>
    <row r="451" spans="1:8" ht="16.05" customHeight="1" x14ac:dyDescent="0.3">
      <c r="A451" s="16"/>
      <c r="B451" s="16"/>
      <c r="C451" s="16"/>
      <c r="D451" s="16"/>
      <c r="E451" s="16"/>
      <c r="F451" s="16"/>
      <c r="G451" s="16"/>
      <c r="H451" s="17"/>
    </row>
    <row r="452" spans="1:8" ht="16.05" customHeight="1" x14ac:dyDescent="0.3">
      <c r="A452" s="16"/>
      <c r="B452" s="16"/>
      <c r="C452" s="16"/>
      <c r="D452" s="16"/>
      <c r="E452" s="16"/>
      <c r="F452" s="16"/>
      <c r="G452" s="16"/>
      <c r="H452" s="17"/>
    </row>
    <row r="453" spans="1:8" ht="16.05" customHeight="1" x14ac:dyDescent="0.3">
      <c r="A453" s="16"/>
      <c r="B453" s="16"/>
      <c r="C453" s="16"/>
      <c r="D453" s="16"/>
      <c r="E453" s="16"/>
      <c r="F453" s="16"/>
      <c r="G453" s="16"/>
      <c r="H453" s="17"/>
    </row>
    <row r="454" spans="1:8" ht="16.05" customHeight="1" x14ac:dyDescent="0.3">
      <c r="A454" s="16"/>
      <c r="B454" s="16"/>
      <c r="C454" s="16"/>
      <c r="D454" s="16"/>
      <c r="E454" s="16"/>
      <c r="F454" s="16"/>
      <c r="G454" s="16"/>
      <c r="H454" s="17"/>
    </row>
    <row r="455" spans="1:8" ht="16.05" customHeight="1" x14ac:dyDescent="0.3">
      <c r="A455" s="16"/>
      <c r="B455" s="16"/>
      <c r="C455" s="16"/>
      <c r="D455" s="16"/>
      <c r="E455" s="16"/>
      <c r="F455" s="16"/>
      <c r="G455" s="16"/>
      <c r="H455" s="17"/>
    </row>
    <row r="456" spans="1:8" ht="16.05" customHeight="1" x14ac:dyDescent="0.3">
      <c r="A456" s="16"/>
      <c r="B456" s="16"/>
      <c r="C456" s="16"/>
      <c r="D456" s="16"/>
      <c r="E456" s="16"/>
      <c r="F456" s="16"/>
      <c r="G456" s="16"/>
      <c r="H456" s="17"/>
    </row>
    <row r="457" spans="1:8" ht="16.05" customHeight="1" x14ac:dyDescent="0.3">
      <c r="A457" s="16"/>
      <c r="B457" s="16"/>
      <c r="C457" s="16"/>
      <c r="D457" s="16"/>
      <c r="E457" s="16"/>
      <c r="F457" s="16"/>
      <c r="G457" s="16"/>
      <c r="H457" s="17"/>
    </row>
    <row r="458" spans="1:8" ht="16.05" customHeight="1" x14ac:dyDescent="0.3">
      <c r="A458" s="16"/>
      <c r="B458" s="16"/>
      <c r="C458" s="16"/>
      <c r="D458" s="16"/>
      <c r="E458" s="16"/>
      <c r="F458" s="16"/>
      <c r="G458" s="16"/>
      <c r="H458" s="17"/>
    </row>
    <row r="459" spans="1:8" ht="16.05" customHeight="1" x14ac:dyDescent="0.3">
      <c r="A459" s="16"/>
      <c r="B459" s="16"/>
      <c r="C459" s="16"/>
      <c r="D459" s="16"/>
      <c r="E459" s="16"/>
      <c r="F459" s="16"/>
      <c r="G459" s="16"/>
      <c r="H459" s="17"/>
    </row>
    <row r="460" spans="1:8" ht="16.05" customHeight="1" x14ac:dyDescent="0.3">
      <c r="A460" s="16"/>
      <c r="B460" s="16"/>
      <c r="C460" s="16"/>
      <c r="D460" s="16"/>
      <c r="E460" s="16"/>
      <c r="F460" s="16"/>
      <c r="G460" s="16"/>
      <c r="H460" s="17"/>
    </row>
    <row r="461" spans="1:8" ht="16.05" customHeight="1" x14ac:dyDescent="0.3">
      <c r="A461" s="16"/>
      <c r="B461" s="16"/>
      <c r="C461" s="16"/>
      <c r="D461" s="16"/>
      <c r="E461" s="16"/>
      <c r="F461" s="16"/>
      <c r="G461" s="16"/>
      <c r="H461" s="17"/>
    </row>
    <row r="462" spans="1:8" ht="16.05" customHeight="1" x14ac:dyDescent="0.3">
      <c r="A462" s="16"/>
      <c r="B462" s="16"/>
      <c r="C462" s="16"/>
      <c r="D462" s="16"/>
      <c r="E462" s="16"/>
      <c r="F462" s="16"/>
      <c r="G462" s="16"/>
      <c r="H462" s="17"/>
    </row>
    <row r="463" spans="1:8" ht="16.05" customHeight="1" x14ac:dyDescent="0.3">
      <c r="A463" s="16"/>
      <c r="B463" s="16"/>
      <c r="C463" s="16"/>
      <c r="D463" s="16"/>
      <c r="E463" s="16"/>
      <c r="F463" s="16"/>
      <c r="G463" s="16"/>
      <c r="H463" s="17"/>
    </row>
    <row r="464" spans="1:8" ht="16.05" customHeight="1" x14ac:dyDescent="0.3">
      <c r="A464" s="16"/>
      <c r="B464" s="16"/>
      <c r="C464" s="16"/>
      <c r="D464" s="16"/>
      <c r="E464" s="16"/>
      <c r="F464" s="16"/>
      <c r="G464" s="16"/>
      <c r="H464" s="17"/>
    </row>
    <row r="465" spans="1:8" ht="16.05" customHeight="1" x14ac:dyDescent="0.3">
      <c r="A465" s="16"/>
      <c r="B465" s="16"/>
      <c r="C465" s="16"/>
      <c r="D465" s="16"/>
      <c r="E465" s="16"/>
      <c r="F465" s="16"/>
      <c r="G465" s="16"/>
      <c r="H465" s="17"/>
    </row>
    <row r="466" spans="1:8" ht="16.05" customHeight="1" x14ac:dyDescent="0.3">
      <c r="A466" s="16"/>
      <c r="B466" s="16"/>
      <c r="C466" s="16"/>
      <c r="D466" s="16"/>
      <c r="E466" s="16"/>
      <c r="F466" s="16"/>
      <c r="G466" s="16"/>
      <c r="H466" s="17"/>
    </row>
    <row r="467" spans="1:8" ht="16.05" customHeight="1" x14ac:dyDescent="0.3">
      <c r="A467" s="16"/>
      <c r="B467" s="16"/>
      <c r="C467" s="16"/>
      <c r="D467" s="16"/>
      <c r="E467" s="16"/>
      <c r="F467" s="16"/>
      <c r="G467" s="16"/>
      <c r="H467" s="17"/>
    </row>
    <row r="468" spans="1:8" ht="16.05" customHeight="1" x14ac:dyDescent="0.3">
      <c r="A468" s="16"/>
      <c r="B468" s="16"/>
      <c r="C468" s="16"/>
      <c r="D468" s="16"/>
      <c r="E468" s="16"/>
      <c r="F468" s="16"/>
      <c r="G468" s="16"/>
      <c r="H468" s="17"/>
    </row>
    <row r="469" spans="1:8" ht="16.05" customHeight="1" x14ac:dyDescent="0.3">
      <c r="A469" s="16"/>
      <c r="B469" s="16"/>
      <c r="C469" s="16"/>
      <c r="D469" s="16"/>
      <c r="E469" s="16"/>
      <c r="F469" s="16"/>
      <c r="G469" s="16"/>
      <c r="H469" s="17"/>
    </row>
    <row r="470" spans="1:8" ht="16.05" customHeight="1" x14ac:dyDescent="0.3">
      <c r="A470" s="16"/>
      <c r="B470" s="16"/>
      <c r="C470" s="16"/>
      <c r="D470" s="16"/>
      <c r="E470" s="16"/>
      <c r="F470" s="16"/>
      <c r="G470" s="16"/>
      <c r="H470" s="17"/>
    </row>
    <row r="471" spans="1:8" ht="16.05" customHeight="1" x14ac:dyDescent="0.3">
      <c r="A471" s="16"/>
      <c r="B471" s="16"/>
      <c r="C471" s="16"/>
      <c r="D471" s="16"/>
      <c r="E471" s="16"/>
      <c r="F471" s="16"/>
      <c r="G471" s="16"/>
      <c r="H471" s="17"/>
    </row>
    <row r="472" spans="1:8" ht="16.05" customHeight="1" x14ac:dyDescent="0.3">
      <c r="A472" s="16"/>
      <c r="B472" s="16"/>
      <c r="C472" s="16"/>
      <c r="D472" s="16"/>
      <c r="E472" s="16"/>
      <c r="F472" s="16"/>
      <c r="G472" s="16"/>
      <c r="H472" s="17"/>
    </row>
    <row r="473" spans="1:8" ht="16.05" customHeight="1" x14ac:dyDescent="0.3">
      <c r="A473" s="16"/>
      <c r="B473" s="16"/>
      <c r="C473" s="16"/>
      <c r="D473" s="16"/>
      <c r="E473" s="16"/>
      <c r="F473" s="16"/>
      <c r="G473" s="16"/>
      <c r="H473" s="17"/>
    </row>
    <row r="474" spans="1:8" ht="16.05" customHeight="1" x14ac:dyDescent="0.3">
      <c r="A474" s="16"/>
      <c r="B474" s="16"/>
      <c r="C474" s="16"/>
      <c r="D474" s="16"/>
      <c r="E474" s="16"/>
      <c r="F474" s="16"/>
      <c r="G474" s="16"/>
      <c r="H474" s="17"/>
    </row>
    <row r="475" spans="1:8" ht="16.05" customHeight="1" x14ac:dyDescent="0.3">
      <c r="A475" s="16"/>
      <c r="B475" s="16"/>
      <c r="C475" s="16"/>
      <c r="D475" s="16"/>
      <c r="E475" s="16"/>
      <c r="F475" s="16"/>
      <c r="G475" s="16"/>
      <c r="H475" s="17"/>
    </row>
    <row r="476" spans="1:8" ht="16.05" customHeight="1" x14ac:dyDescent="0.3">
      <c r="A476" s="16"/>
      <c r="B476" s="16"/>
      <c r="C476" s="16"/>
      <c r="D476" s="16"/>
      <c r="E476" s="16"/>
      <c r="F476" s="16"/>
      <c r="G476" s="16"/>
      <c r="H476" s="17"/>
    </row>
    <row r="477" spans="1:8" ht="16.05" customHeight="1" x14ac:dyDescent="0.3">
      <c r="A477" s="16"/>
      <c r="B477" s="16"/>
      <c r="C477" s="16"/>
      <c r="D477" s="16"/>
      <c r="E477" s="16"/>
      <c r="F477" s="16"/>
      <c r="G477" s="16"/>
      <c r="H477" s="17"/>
    </row>
    <row r="478" spans="1:8" ht="16.05" customHeight="1" x14ac:dyDescent="0.3">
      <c r="A478" s="16"/>
      <c r="B478" s="16"/>
      <c r="C478" s="16"/>
      <c r="D478" s="16"/>
      <c r="E478" s="16"/>
      <c r="F478" s="16"/>
      <c r="G478" s="16"/>
      <c r="H478" s="17"/>
    </row>
    <row r="479" spans="1:8" ht="16.05" customHeight="1" x14ac:dyDescent="0.3">
      <c r="A479" s="16"/>
      <c r="B479" s="16"/>
      <c r="C479" s="16"/>
      <c r="D479" s="16"/>
      <c r="E479" s="16"/>
      <c r="F479" s="16"/>
      <c r="G479" s="16"/>
      <c r="H479" s="17"/>
    </row>
    <row r="480" spans="1:8" ht="16.05" customHeight="1" x14ac:dyDescent="0.3">
      <c r="A480" s="16"/>
      <c r="B480" s="16"/>
      <c r="C480" s="16"/>
      <c r="D480" s="16"/>
      <c r="E480" s="16"/>
      <c r="F480" s="16"/>
      <c r="G480" s="16"/>
      <c r="H480" s="17"/>
    </row>
    <row r="481" spans="1:8" ht="16.05" customHeight="1" x14ac:dyDescent="0.3">
      <c r="A481" s="16"/>
      <c r="B481" s="16"/>
      <c r="C481" s="16"/>
      <c r="D481" s="16"/>
      <c r="E481" s="16"/>
      <c r="F481" s="16"/>
      <c r="G481" s="16"/>
      <c r="H481" s="17"/>
    </row>
    <row r="482" spans="1:8" ht="16.05" customHeight="1" x14ac:dyDescent="0.3">
      <c r="A482" s="16"/>
      <c r="B482" s="16"/>
      <c r="C482" s="16"/>
      <c r="D482" s="16"/>
      <c r="E482" s="16"/>
      <c r="F482" s="16"/>
      <c r="G482" s="16"/>
      <c r="H482" s="17"/>
    </row>
    <row r="483" spans="1:8" ht="16.05" customHeight="1" x14ac:dyDescent="0.3">
      <c r="A483" s="16"/>
      <c r="B483" s="16"/>
      <c r="C483" s="16"/>
      <c r="D483" s="16"/>
      <c r="E483" s="16"/>
      <c r="F483" s="16"/>
      <c r="G483" s="16"/>
      <c r="H483" s="17"/>
    </row>
    <row r="484" spans="1:8" ht="16.05" customHeight="1" x14ac:dyDescent="0.3">
      <c r="A484" s="16"/>
      <c r="B484" s="16"/>
      <c r="C484" s="16"/>
      <c r="D484" s="16"/>
      <c r="E484" s="16"/>
      <c r="F484" s="16"/>
      <c r="G484" s="16"/>
      <c r="H484" s="17"/>
    </row>
    <row r="485" spans="1:8" ht="16.05" customHeight="1" x14ac:dyDescent="0.3">
      <c r="A485" s="16"/>
      <c r="B485" s="16"/>
      <c r="C485" s="16"/>
      <c r="D485" s="16"/>
      <c r="E485" s="16"/>
      <c r="F485" s="16"/>
      <c r="G485" s="16"/>
      <c r="H485" s="17"/>
    </row>
    <row r="486" spans="1:8" ht="16.05" customHeight="1" x14ac:dyDescent="0.3">
      <c r="A486" s="16"/>
      <c r="B486" s="16"/>
      <c r="C486" s="16"/>
      <c r="D486" s="16"/>
      <c r="E486" s="16"/>
      <c r="F486" s="16"/>
      <c r="G486" s="16"/>
      <c r="H486" s="17"/>
    </row>
    <row r="487" spans="1:8" ht="16.05" customHeight="1" x14ac:dyDescent="0.3">
      <c r="A487" s="16"/>
      <c r="B487" s="16"/>
      <c r="C487" s="16"/>
      <c r="D487" s="16"/>
      <c r="E487" s="16"/>
      <c r="F487" s="16"/>
      <c r="G487" s="16"/>
      <c r="H487" s="17"/>
    </row>
    <row r="488" spans="1:8" ht="16.05" customHeight="1" x14ac:dyDescent="0.3">
      <c r="A488" s="16"/>
      <c r="B488" s="16"/>
      <c r="C488" s="16"/>
      <c r="D488" s="16"/>
      <c r="E488" s="16"/>
      <c r="F488" s="16"/>
      <c r="G488" s="16"/>
      <c r="H488" s="17"/>
    </row>
    <row r="489" spans="1:8" ht="16.05" customHeight="1" x14ac:dyDescent="0.3">
      <c r="A489" s="16"/>
      <c r="B489" s="16"/>
      <c r="C489" s="16"/>
      <c r="D489" s="16"/>
      <c r="E489" s="16"/>
      <c r="F489" s="16"/>
      <c r="G489" s="16"/>
      <c r="H489" s="17"/>
    </row>
    <row r="490" spans="1:8" ht="16.05" customHeight="1" x14ac:dyDescent="0.3">
      <c r="A490" s="16"/>
      <c r="B490" s="16"/>
      <c r="C490" s="16"/>
      <c r="D490" s="16"/>
      <c r="E490" s="16"/>
      <c r="F490" s="16"/>
      <c r="G490" s="16"/>
      <c r="H490" s="17"/>
    </row>
    <row r="491" spans="1:8" ht="16.05" customHeight="1" x14ac:dyDescent="0.3">
      <c r="A491" s="16"/>
      <c r="B491" s="16"/>
      <c r="C491" s="16"/>
      <c r="D491" s="16"/>
      <c r="E491" s="16"/>
      <c r="F491" s="16"/>
      <c r="G491" s="16"/>
      <c r="H491" s="17"/>
    </row>
    <row r="492" spans="1:8" ht="16.05" customHeight="1" x14ac:dyDescent="0.3">
      <c r="A492" s="16"/>
      <c r="B492" s="16"/>
      <c r="C492" s="16"/>
      <c r="D492" s="16"/>
      <c r="E492" s="16"/>
      <c r="F492" s="16"/>
      <c r="G492" s="16"/>
      <c r="H492" s="17"/>
    </row>
    <row r="493" spans="1:8" ht="16.05" customHeight="1" x14ac:dyDescent="0.3">
      <c r="A493" s="16"/>
      <c r="B493" s="16"/>
      <c r="C493" s="16"/>
      <c r="D493" s="16"/>
      <c r="E493" s="16"/>
      <c r="F493" s="16"/>
      <c r="G493" s="16"/>
      <c r="H493" s="17"/>
    </row>
    <row r="494" spans="1:8" ht="16.05" customHeight="1" x14ac:dyDescent="0.3">
      <c r="A494" s="16"/>
      <c r="B494" s="16"/>
      <c r="C494" s="16"/>
      <c r="D494" s="16"/>
      <c r="E494" s="16"/>
      <c r="F494" s="16"/>
      <c r="G494" s="16"/>
      <c r="H494" s="17"/>
    </row>
    <row r="495" spans="1:8" ht="16.05" customHeight="1" x14ac:dyDescent="0.3">
      <c r="A495" s="16"/>
      <c r="B495" s="16"/>
      <c r="C495" s="16"/>
      <c r="D495" s="16"/>
      <c r="E495" s="16"/>
      <c r="F495" s="16"/>
      <c r="G495" s="16"/>
      <c r="H495" s="17"/>
    </row>
    <row r="496" spans="1:8" ht="16.05" customHeight="1" x14ac:dyDescent="0.3">
      <c r="A496" s="16"/>
      <c r="B496" s="16"/>
      <c r="C496" s="16"/>
      <c r="D496" s="16"/>
      <c r="E496" s="16"/>
      <c r="F496" s="16"/>
      <c r="G496" s="16"/>
      <c r="H496" s="17"/>
    </row>
    <row r="497" spans="1:8" ht="16.05" customHeight="1" x14ac:dyDescent="0.3">
      <c r="A497" s="16"/>
      <c r="B497" s="16"/>
      <c r="C497" s="16"/>
      <c r="D497" s="16"/>
      <c r="E497" s="16"/>
      <c r="F497" s="16"/>
      <c r="G497" s="16"/>
      <c r="H497" s="17"/>
    </row>
    <row r="498" spans="1:8" ht="16.05" customHeight="1" x14ac:dyDescent="0.3">
      <c r="A498" s="16"/>
      <c r="B498" s="16"/>
      <c r="C498" s="16"/>
      <c r="D498" s="16"/>
      <c r="E498" s="16"/>
      <c r="F498" s="16"/>
      <c r="G498" s="16"/>
      <c r="H498" s="17"/>
    </row>
    <row r="499" spans="1:8" ht="16.05" customHeight="1" x14ac:dyDescent="0.3">
      <c r="A499" s="16"/>
      <c r="B499" s="16"/>
      <c r="C499" s="16"/>
      <c r="D499" s="16"/>
      <c r="E499" s="16"/>
      <c r="F499" s="16"/>
      <c r="G499" s="16"/>
      <c r="H499" s="17"/>
    </row>
    <row r="500" spans="1:8" ht="16.05" customHeight="1" x14ac:dyDescent="0.3">
      <c r="A500" s="16"/>
      <c r="B500" s="16"/>
      <c r="C500" s="16"/>
      <c r="D500" s="16"/>
      <c r="E500" s="16"/>
      <c r="F500" s="16"/>
      <c r="G500" s="16"/>
      <c r="H500" s="17"/>
    </row>
    <row r="501" spans="1:8" ht="16.05" customHeight="1" x14ac:dyDescent="0.3">
      <c r="A501" s="16"/>
      <c r="B501" s="16"/>
      <c r="C501" s="16"/>
      <c r="D501" s="16"/>
      <c r="E501" s="16"/>
      <c r="F501" s="16"/>
      <c r="G501" s="16"/>
      <c r="H501" s="1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"/>
  <sheetViews>
    <sheetView zoomScale="110" workbookViewId="0"/>
  </sheetViews>
  <sheetFormatPr baseColWidth="10" defaultColWidth="8.88671875" defaultRowHeight="14.4" x14ac:dyDescent="0.3"/>
  <cols>
    <col min="1" max="1" width="32" customWidth="1"/>
    <col min="2" max="2" width="14" customWidth="1"/>
    <col min="3" max="3" width="50" customWidth="1"/>
  </cols>
  <sheetData>
    <row r="1" spans="1:3" ht="19.95" customHeight="1" x14ac:dyDescent="0.3">
      <c r="A1" s="65" t="s">
        <v>114</v>
      </c>
      <c r="B1" s="66"/>
      <c r="C1" s="66"/>
    </row>
    <row r="2" spans="1:3" ht="18" customHeight="1" x14ac:dyDescent="0.3">
      <c r="A2" s="21" t="s">
        <v>115</v>
      </c>
      <c r="B2" s="22">
        <v>5.14</v>
      </c>
      <c r="C2" s="23" t="s">
        <v>116</v>
      </c>
    </row>
    <row r="4" spans="1:3" ht="19.95" customHeight="1" x14ac:dyDescent="0.3">
      <c r="A4" s="65" t="s">
        <v>117</v>
      </c>
      <c r="B4" s="66"/>
      <c r="C4" s="66"/>
    </row>
    <row r="5" spans="1:3" ht="18" customHeight="1" x14ac:dyDescent="0.3">
      <c r="A5" s="21" t="s">
        <v>118</v>
      </c>
      <c r="B5" s="24">
        <v>1.6459999999999999</v>
      </c>
      <c r="C5" s="23" t="s">
        <v>119</v>
      </c>
    </row>
    <row r="6" spans="1:3" ht="18" customHeight="1" x14ac:dyDescent="0.3">
      <c r="A6" s="21" t="s">
        <v>120</v>
      </c>
      <c r="B6" s="24">
        <v>3.49</v>
      </c>
      <c r="C6" s="23" t="s">
        <v>119</v>
      </c>
    </row>
    <row r="7" spans="1:3" ht="18" customHeight="1" x14ac:dyDescent="0.3">
      <c r="A7" s="21" t="s">
        <v>121</v>
      </c>
      <c r="B7" s="24">
        <v>5.66</v>
      </c>
      <c r="C7" s="23" t="s">
        <v>119</v>
      </c>
    </row>
    <row r="8" spans="1:3" ht="18" customHeight="1" x14ac:dyDescent="0.3">
      <c r="A8" s="21" t="s">
        <v>122</v>
      </c>
      <c r="B8" s="24">
        <v>2.7069999999999999</v>
      </c>
      <c r="C8" s="23" t="s">
        <v>119</v>
      </c>
    </row>
    <row r="9" spans="1:3" ht="18" customHeight="1" x14ac:dyDescent="0.3">
      <c r="A9" s="21" t="s">
        <v>123</v>
      </c>
      <c r="B9" s="24">
        <v>4.41</v>
      </c>
      <c r="C9" s="23" t="s">
        <v>124</v>
      </c>
    </row>
    <row r="10" spans="1:3" ht="18" customHeight="1" x14ac:dyDescent="0.3">
      <c r="A10" s="21" t="s">
        <v>125</v>
      </c>
      <c r="B10" s="24">
        <v>5.66</v>
      </c>
      <c r="C10" s="23" t="s">
        <v>126</v>
      </c>
    </row>
    <row r="11" spans="1:3" ht="18" customHeight="1" x14ac:dyDescent="0.3">
      <c r="A11" s="21" t="s">
        <v>127</v>
      </c>
      <c r="B11" s="24">
        <v>0.51</v>
      </c>
      <c r="C11" s="23" t="s">
        <v>128</v>
      </c>
    </row>
    <row r="12" spans="1:3" ht="18" customHeight="1" x14ac:dyDescent="0.3">
      <c r="A12" s="21" t="s">
        <v>129</v>
      </c>
      <c r="B12" s="24">
        <v>6</v>
      </c>
      <c r="C12" s="23" t="s">
        <v>130</v>
      </c>
    </row>
    <row r="13" spans="1:3" ht="18" customHeight="1" x14ac:dyDescent="0.3">
      <c r="A13" s="21" t="s">
        <v>131</v>
      </c>
      <c r="B13" s="24">
        <v>0</v>
      </c>
      <c r="C13" s="23" t="s">
        <v>132</v>
      </c>
    </row>
  </sheetData>
  <mergeCells count="2">
    <mergeCell ref="A1:C1"/>
    <mergeCell ref="A4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"/>
  <sheetViews>
    <sheetView zoomScale="90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2" width="35" customWidth="1"/>
    <col min="3" max="3" width="8" customWidth="1"/>
    <col min="4" max="4" width="14" customWidth="1"/>
    <col min="5" max="5" width="10" customWidth="1"/>
    <col min="6" max="6" width="7" customWidth="1"/>
    <col min="7" max="7" width="13" customWidth="1"/>
  </cols>
  <sheetData>
    <row r="1" spans="1:7" ht="22.05" customHeight="1" x14ac:dyDescent="0.3">
      <c r="A1" s="3" t="s">
        <v>133</v>
      </c>
      <c r="B1" s="3" t="s">
        <v>88</v>
      </c>
      <c r="C1" s="3" t="s">
        <v>134</v>
      </c>
      <c r="D1" s="3" t="s">
        <v>135</v>
      </c>
      <c r="E1" s="3" t="s">
        <v>136</v>
      </c>
      <c r="F1" s="3" t="s">
        <v>137</v>
      </c>
      <c r="G1" s="3" t="s">
        <v>138</v>
      </c>
    </row>
    <row r="2" spans="1:7" ht="16.05" customHeight="1" x14ac:dyDescent="0.3">
      <c r="A2" s="25" t="s">
        <v>139</v>
      </c>
      <c r="B2" s="26" t="s">
        <v>140</v>
      </c>
      <c r="C2" s="25" t="s">
        <v>141</v>
      </c>
      <c r="D2" s="27">
        <v>1</v>
      </c>
      <c r="E2" s="25">
        <v>4</v>
      </c>
      <c r="F2" s="25">
        <v>21</v>
      </c>
      <c r="G2" s="25" t="s">
        <v>142</v>
      </c>
    </row>
    <row r="3" spans="1:7" ht="16.05" customHeight="1" x14ac:dyDescent="0.3">
      <c r="A3" s="25" t="s">
        <v>143</v>
      </c>
      <c r="B3" s="26" t="s">
        <v>144</v>
      </c>
      <c r="C3" s="25" t="s">
        <v>141</v>
      </c>
      <c r="D3" s="27">
        <v>0.9</v>
      </c>
      <c r="E3" s="25">
        <v>4</v>
      </c>
      <c r="F3" s="25">
        <v>21</v>
      </c>
      <c r="G3" s="25" t="s">
        <v>142</v>
      </c>
    </row>
    <row r="4" spans="1:7" ht="16.05" customHeight="1" x14ac:dyDescent="0.3">
      <c r="A4" s="25" t="s">
        <v>145</v>
      </c>
      <c r="B4" s="26" t="s">
        <v>146</v>
      </c>
      <c r="C4" s="25" t="s">
        <v>141</v>
      </c>
      <c r="D4" s="27">
        <v>0.85</v>
      </c>
      <c r="E4" s="25">
        <v>4</v>
      </c>
      <c r="F4" s="25">
        <v>21</v>
      </c>
      <c r="G4" s="25" t="s">
        <v>142</v>
      </c>
    </row>
    <row r="5" spans="1:7" ht="16.05" customHeight="1" x14ac:dyDescent="0.3">
      <c r="A5" s="25" t="s">
        <v>147</v>
      </c>
      <c r="B5" s="26" t="s">
        <v>148</v>
      </c>
      <c r="C5" s="25" t="s">
        <v>141</v>
      </c>
      <c r="D5" s="27">
        <v>0.8</v>
      </c>
      <c r="E5" s="25">
        <v>4</v>
      </c>
      <c r="F5" s="25">
        <v>21</v>
      </c>
      <c r="G5" s="25" t="s">
        <v>142</v>
      </c>
    </row>
    <row r="6" spans="1:7" ht="16.05" customHeight="1" x14ac:dyDescent="0.3">
      <c r="A6" s="25" t="s">
        <v>149</v>
      </c>
      <c r="B6" s="26" t="s">
        <v>150</v>
      </c>
      <c r="C6" s="25" t="s">
        <v>151</v>
      </c>
      <c r="D6" s="27">
        <v>1.1499999999999999</v>
      </c>
      <c r="E6" s="25">
        <v>9</v>
      </c>
      <c r="F6" s="25">
        <v>21</v>
      </c>
      <c r="G6" s="25" t="s">
        <v>152</v>
      </c>
    </row>
    <row r="7" spans="1:7" ht="16.05" customHeight="1" x14ac:dyDescent="0.3">
      <c r="A7" s="25" t="s">
        <v>153</v>
      </c>
      <c r="B7" s="26" t="s">
        <v>154</v>
      </c>
      <c r="C7" s="25" t="s">
        <v>151</v>
      </c>
      <c r="D7" s="27">
        <v>1.19</v>
      </c>
      <c r="E7" s="25">
        <v>9</v>
      </c>
      <c r="F7" s="25">
        <v>21</v>
      </c>
      <c r="G7" s="25" t="s">
        <v>152</v>
      </c>
    </row>
    <row r="8" spans="1:7" ht="16.05" customHeight="1" x14ac:dyDescent="0.3">
      <c r="A8" s="25" t="s">
        <v>155</v>
      </c>
      <c r="B8" s="26" t="s">
        <v>156</v>
      </c>
      <c r="C8" s="25" t="s">
        <v>151</v>
      </c>
      <c r="D8" s="27">
        <v>1.25</v>
      </c>
      <c r="E8" s="25">
        <v>9</v>
      </c>
      <c r="F8" s="25">
        <v>21</v>
      </c>
      <c r="G8" s="25" t="s">
        <v>152</v>
      </c>
    </row>
    <row r="9" spans="1:7" ht="16.05" customHeight="1" x14ac:dyDescent="0.3">
      <c r="A9" s="25" t="s">
        <v>157</v>
      </c>
      <c r="B9" s="26" t="s">
        <v>158</v>
      </c>
      <c r="C9" s="25" t="s">
        <v>151</v>
      </c>
      <c r="D9" s="27">
        <v>1</v>
      </c>
      <c r="E9" s="25">
        <v>9</v>
      </c>
      <c r="F9" s="25">
        <v>21</v>
      </c>
      <c r="G9" s="25" t="s">
        <v>152</v>
      </c>
    </row>
    <row r="10" spans="1:7" ht="16.05" customHeight="1" x14ac:dyDescent="0.3">
      <c r="A10" s="28" t="s">
        <v>159</v>
      </c>
      <c r="B10" s="29" t="s">
        <v>160</v>
      </c>
      <c r="C10" s="28" t="s">
        <v>141</v>
      </c>
      <c r="D10" s="30">
        <v>1</v>
      </c>
      <c r="E10" s="28">
        <v>4</v>
      </c>
      <c r="F10" s="28">
        <v>0</v>
      </c>
      <c r="G10" s="28" t="s">
        <v>142</v>
      </c>
    </row>
    <row r="11" spans="1:7" ht="16.05" customHeight="1" x14ac:dyDescent="0.3">
      <c r="A11" s="28" t="s">
        <v>161</v>
      </c>
      <c r="B11" s="29" t="s">
        <v>162</v>
      </c>
      <c r="C11" s="28" t="s">
        <v>141</v>
      </c>
      <c r="D11" s="30">
        <v>1.03</v>
      </c>
      <c r="E11" s="28">
        <v>4</v>
      </c>
      <c r="F11" s="28">
        <v>0</v>
      </c>
      <c r="G11" s="28" t="s">
        <v>142</v>
      </c>
    </row>
    <row r="12" spans="1:7" ht="16.05" customHeight="1" x14ac:dyDescent="0.3">
      <c r="A12" s="28" t="s">
        <v>163</v>
      </c>
      <c r="B12" s="29" t="s">
        <v>164</v>
      </c>
      <c r="C12" s="28" t="s">
        <v>141</v>
      </c>
      <c r="D12" s="30">
        <v>1.06</v>
      </c>
      <c r="E12" s="28">
        <v>4</v>
      </c>
      <c r="F12" s="28">
        <v>0</v>
      </c>
      <c r="G12" s="28" t="s">
        <v>142</v>
      </c>
    </row>
    <row r="13" spans="1:7" ht="16.05" customHeight="1" x14ac:dyDescent="0.3">
      <c r="A13" s="28" t="s">
        <v>165</v>
      </c>
      <c r="B13" s="29" t="s">
        <v>166</v>
      </c>
      <c r="C13" s="28" t="s">
        <v>141</v>
      </c>
      <c r="D13" s="30">
        <v>1.0900000000000001</v>
      </c>
      <c r="E13" s="28">
        <v>4</v>
      </c>
      <c r="F13" s="28">
        <v>0</v>
      </c>
      <c r="G13" s="28" t="s">
        <v>142</v>
      </c>
    </row>
    <row r="14" spans="1:7" ht="16.05" customHeight="1" x14ac:dyDescent="0.3">
      <c r="A14" s="28" t="s">
        <v>167</v>
      </c>
      <c r="B14" s="29" t="s">
        <v>168</v>
      </c>
      <c r="C14" s="28" t="s">
        <v>141</v>
      </c>
      <c r="D14" s="30">
        <v>1.1200000000000001</v>
      </c>
      <c r="E14" s="28">
        <v>4</v>
      </c>
      <c r="F14" s="28">
        <v>0</v>
      </c>
      <c r="G14" s="28" t="s">
        <v>142</v>
      </c>
    </row>
    <row r="15" spans="1:7" ht="16.05" customHeight="1" x14ac:dyDescent="0.3">
      <c r="A15" s="28" t="s">
        <v>169</v>
      </c>
      <c r="B15" s="29" t="s">
        <v>170</v>
      </c>
      <c r="C15" s="28" t="s">
        <v>141</v>
      </c>
      <c r="D15" s="30">
        <v>1.1499999999999999</v>
      </c>
      <c r="E15" s="28">
        <v>4</v>
      </c>
      <c r="F15" s="28">
        <v>0</v>
      </c>
      <c r="G15" s="28" t="s">
        <v>142</v>
      </c>
    </row>
    <row r="16" spans="1:7" ht="16.05" customHeight="1" x14ac:dyDescent="0.3">
      <c r="A16" s="28" t="s">
        <v>171</v>
      </c>
      <c r="B16" s="29" t="s">
        <v>172</v>
      </c>
      <c r="C16" s="28" t="s">
        <v>141</v>
      </c>
      <c r="D16" s="30">
        <v>1.18</v>
      </c>
      <c r="E16" s="28">
        <v>4</v>
      </c>
      <c r="F16" s="28">
        <v>0</v>
      </c>
      <c r="G16" s="28" t="s">
        <v>142</v>
      </c>
    </row>
    <row r="17" spans="1:7" ht="16.05" customHeight="1" x14ac:dyDescent="0.3">
      <c r="A17" s="28" t="s">
        <v>173</v>
      </c>
      <c r="B17" s="29" t="s">
        <v>174</v>
      </c>
      <c r="C17" s="28" t="s">
        <v>141</v>
      </c>
      <c r="D17" s="30">
        <v>1.21</v>
      </c>
      <c r="E17" s="28">
        <v>4</v>
      </c>
      <c r="F17" s="28">
        <v>0</v>
      </c>
      <c r="G17" s="28" t="s">
        <v>142</v>
      </c>
    </row>
    <row r="18" spans="1:7" ht="16.05" customHeight="1" x14ac:dyDescent="0.3">
      <c r="A18" s="28" t="s">
        <v>175</v>
      </c>
      <c r="B18" s="29" t="s">
        <v>176</v>
      </c>
      <c r="C18" s="28" t="s">
        <v>141</v>
      </c>
      <c r="D18" s="30">
        <v>1.33</v>
      </c>
      <c r="E18" s="28">
        <v>4</v>
      </c>
      <c r="F18" s="28">
        <v>0</v>
      </c>
      <c r="G18" s="28" t="s">
        <v>142</v>
      </c>
    </row>
    <row r="19" spans="1:7" ht="16.05" customHeight="1" x14ac:dyDescent="0.3">
      <c r="A19" s="28" t="s">
        <v>177</v>
      </c>
      <c r="B19" s="29" t="s">
        <v>178</v>
      </c>
      <c r="C19" s="28" t="s">
        <v>141</v>
      </c>
      <c r="D19" s="30">
        <v>1.36</v>
      </c>
      <c r="E19" s="28">
        <v>4</v>
      </c>
      <c r="F19" s="28">
        <v>0</v>
      </c>
      <c r="G19" s="28" t="s">
        <v>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4"/>
  <sheetViews>
    <sheetView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14" customWidth="1"/>
    <col min="2" max="2" width="20" customWidth="1"/>
    <col min="3" max="3" width="5" customWidth="1"/>
    <col min="4" max="4" width="20" customWidth="1"/>
    <col min="5" max="5" width="10" customWidth="1"/>
    <col min="6" max="6" width="5" customWidth="1"/>
    <col min="7" max="7" width="16" customWidth="1"/>
    <col min="8" max="8" width="1" hidden="1" customWidth="1"/>
  </cols>
  <sheetData>
    <row r="1" spans="1:8" ht="25.95" customHeight="1" x14ac:dyDescent="0.3">
      <c r="A1" s="67" t="s">
        <v>179</v>
      </c>
      <c r="B1" s="50"/>
      <c r="C1" s="50"/>
      <c r="D1" s="50"/>
      <c r="E1" s="50"/>
      <c r="F1" s="50"/>
      <c r="G1" s="50"/>
      <c r="H1" t="str">
        <f>IFERROR(MATCH(B2,PERFILES!$A:$A,0),"")</f>
        <v/>
      </c>
    </row>
    <row r="2" spans="1:8" ht="19.95" customHeight="1" x14ac:dyDescent="0.3">
      <c r="A2" s="31" t="s">
        <v>180</v>
      </c>
      <c r="B2" s="32"/>
      <c r="C2" s="31" t="s">
        <v>181</v>
      </c>
      <c r="D2" s="32" t="s">
        <v>62</v>
      </c>
      <c r="H2">
        <f>IFERROR(MATCH(D2,{"BT","PL","BR","BL","ASP","STD","ESP","BI","MAD"},0),"")</f>
        <v>1</v>
      </c>
    </row>
    <row r="3" spans="1:8" ht="19.95" customHeight="1" x14ac:dyDescent="0.3">
      <c r="A3" s="31" t="s">
        <v>182</v>
      </c>
      <c r="B3" s="33" t="str">
        <f>IFERROR(INDEX(PERFILES!$C:$C,$H$1),"")</f>
        <v/>
      </c>
      <c r="C3" s="31" t="s">
        <v>183</v>
      </c>
      <c r="D3" s="34" t="str">
        <f>IFERROR(INDEX(PERFILES!$Q:$Q,$H$1),"")</f>
        <v/>
      </c>
    </row>
    <row r="4" spans="1:8" ht="19.95" customHeight="1" x14ac:dyDescent="0.3">
      <c r="A4" s="35" t="s">
        <v>184</v>
      </c>
      <c r="B4" s="36" t="str">
        <f>IFERROR(INDEX(PERFILES!$BH:$BP,$H$1,$H$2),"")</f>
        <v/>
      </c>
      <c r="C4" s="37" t="s">
        <v>185</v>
      </c>
      <c r="D4" s="38" t="str">
        <f>IFERROR(INDEX(PERFILES!$AY:$BG,$H$1,$H$2),"")</f>
        <v/>
      </c>
    </row>
    <row r="5" spans="1:8" ht="7.95" customHeight="1" x14ac:dyDescent="0.3"/>
    <row r="6" spans="1:8" ht="22.05" customHeight="1" x14ac:dyDescent="0.3">
      <c r="A6" s="3" t="s">
        <v>133</v>
      </c>
      <c r="B6" s="3" t="s">
        <v>88</v>
      </c>
      <c r="C6" s="3" t="s">
        <v>186</v>
      </c>
      <c r="D6" s="3" t="s">
        <v>136</v>
      </c>
      <c r="E6" s="3" t="s">
        <v>137</v>
      </c>
      <c r="F6" s="3" t="s">
        <v>138</v>
      </c>
      <c r="G6" s="3" t="s">
        <v>77</v>
      </c>
    </row>
    <row r="7" spans="1:8" ht="16.95" customHeight="1" x14ac:dyDescent="0.3">
      <c r="A7" s="25" t="s">
        <v>139</v>
      </c>
      <c r="B7" s="26" t="s">
        <v>140</v>
      </c>
      <c r="C7" s="39" t="str">
        <f>IFERROR(ROUND(B4*1,4),"")</f>
        <v/>
      </c>
      <c r="D7" s="25">
        <v>4</v>
      </c>
      <c r="E7" s="25">
        <v>21</v>
      </c>
      <c r="F7" s="40" t="str">
        <f>IFERROR(ROUND(1/D3,6),"")</f>
        <v/>
      </c>
      <c r="G7" s="25" t="s">
        <v>187</v>
      </c>
    </row>
    <row r="8" spans="1:8" ht="16.95" customHeight="1" x14ac:dyDescent="0.3">
      <c r="A8" s="25" t="s">
        <v>143</v>
      </c>
      <c r="B8" s="26" t="s">
        <v>144</v>
      </c>
      <c r="C8" s="39" t="str">
        <f>IFERROR(ROUND(B4*0.9,4),"")</f>
        <v/>
      </c>
      <c r="D8" s="25">
        <v>4</v>
      </c>
      <c r="E8" s="25">
        <v>21</v>
      </c>
      <c r="F8" s="40" t="str">
        <f>IFERROR(ROUND(1/D3,6),"")</f>
        <v/>
      </c>
      <c r="G8" s="25" t="s">
        <v>187</v>
      </c>
    </row>
    <row r="9" spans="1:8" ht="16.95" customHeight="1" x14ac:dyDescent="0.3">
      <c r="A9" s="25" t="s">
        <v>145</v>
      </c>
      <c r="B9" s="26" t="s">
        <v>146</v>
      </c>
      <c r="C9" s="39" t="str">
        <f>IFERROR(ROUND(B4*0.85,4),"")</f>
        <v/>
      </c>
      <c r="D9" s="25">
        <v>4</v>
      </c>
      <c r="E9" s="25">
        <v>21</v>
      </c>
      <c r="F9" s="40" t="str">
        <f>IFERROR(ROUND(1/D3,6),"")</f>
        <v/>
      </c>
      <c r="G9" s="25" t="s">
        <v>187</v>
      </c>
    </row>
    <row r="10" spans="1:8" ht="16.95" customHeight="1" x14ac:dyDescent="0.3">
      <c r="A10" s="25" t="s">
        <v>147</v>
      </c>
      <c r="B10" s="26" t="s">
        <v>148</v>
      </c>
      <c r="C10" s="39" t="str">
        <f>IFERROR(ROUND(B4*0.8,4),"")</f>
        <v/>
      </c>
      <c r="D10" s="25">
        <v>4</v>
      </c>
      <c r="E10" s="25">
        <v>21</v>
      </c>
      <c r="F10" s="40" t="str">
        <f>IFERROR(ROUND(1/D3,6),"")</f>
        <v/>
      </c>
      <c r="G10" s="25" t="s">
        <v>187</v>
      </c>
    </row>
    <row r="11" spans="1:8" ht="16.95" customHeight="1" x14ac:dyDescent="0.3">
      <c r="A11" s="25" t="s">
        <v>149</v>
      </c>
      <c r="B11" s="26" t="s">
        <v>150</v>
      </c>
      <c r="C11" s="39" t="str">
        <f>IFERROR(ROUND(D4*D3*1.15,4),"")</f>
        <v/>
      </c>
      <c r="D11" s="25">
        <v>9</v>
      </c>
      <c r="E11" s="25">
        <v>21</v>
      </c>
      <c r="F11" s="40" t="s">
        <v>152</v>
      </c>
      <c r="G11" s="25" t="s">
        <v>187</v>
      </c>
    </row>
    <row r="12" spans="1:8" ht="16.95" customHeight="1" x14ac:dyDescent="0.3">
      <c r="A12" s="25" t="s">
        <v>153</v>
      </c>
      <c r="B12" s="26" t="s">
        <v>154</v>
      </c>
      <c r="C12" s="39" t="str">
        <f>IFERROR(ROUND(D4*D3*1.19,4),"")</f>
        <v/>
      </c>
      <c r="D12" s="25">
        <v>9</v>
      </c>
      <c r="E12" s="25">
        <v>21</v>
      </c>
      <c r="F12" s="40" t="s">
        <v>152</v>
      </c>
      <c r="G12" s="25" t="s">
        <v>187</v>
      </c>
    </row>
    <row r="13" spans="1:8" ht="16.95" customHeight="1" x14ac:dyDescent="0.3">
      <c r="A13" s="25" t="s">
        <v>155</v>
      </c>
      <c r="B13" s="26" t="s">
        <v>156</v>
      </c>
      <c r="C13" s="39" t="str">
        <f>IFERROR(ROUND(D4*D3*1.25,4),"")</f>
        <v/>
      </c>
      <c r="D13" s="25">
        <v>9</v>
      </c>
      <c r="E13" s="25">
        <v>21</v>
      </c>
      <c r="F13" s="40" t="s">
        <v>152</v>
      </c>
      <c r="G13" s="25" t="s">
        <v>187</v>
      </c>
    </row>
    <row r="14" spans="1:8" ht="16.95" customHeight="1" x14ac:dyDescent="0.3">
      <c r="A14" s="25" t="s">
        <v>157</v>
      </c>
      <c r="B14" s="26" t="s">
        <v>158</v>
      </c>
      <c r="C14" s="39" t="str">
        <f>IFERROR(ROUND(D4*D3*1,4),"")</f>
        <v/>
      </c>
      <c r="D14" s="25">
        <v>9</v>
      </c>
      <c r="E14" s="25">
        <v>21</v>
      </c>
      <c r="F14" s="40" t="s">
        <v>152</v>
      </c>
      <c r="G14" s="25" t="s">
        <v>187</v>
      </c>
    </row>
    <row r="15" spans="1:8" ht="16.95" customHeight="1" x14ac:dyDescent="0.3">
      <c r="A15" s="28" t="s">
        <v>159</v>
      </c>
      <c r="B15" s="29" t="s">
        <v>160</v>
      </c>
      <c r="C15" s="41" t="str">
        <f>IFERROR(ROUND(B4*1,4),"")</f>
        <v/>
      </c>
      <c r="D15" s="28">
        <v>4</v>
      </c>
      <c r="E15" s="28">
        <v>0</v>
      </c>
      <c r="F15" s="42" t="str">
        <f>IFERROR(ROUND(1/D3,6),"")</f>
        <v/>
      </c>
      <c r="G15" s="28" t="s">
        <v>188</v>
      </c>
    </row>
    <row r="16" spans="1:8" ht="16.95" customHeight="1" x14ac:dyDescent="0.3">
      <c r="A16" s="28" t="s">
        <v>161</v>
      </c>
      <c r="B16" s="29" t="s">
        <v>162</v>
      </c>
      <c r="C16" s="41" t="str">
        <f>IFERROR(ROUND(B4*1.03,4),"")</f>
        <v/>
      </c>
      <c r="D16" s="28">
        <v>4</v>
      </c>
      <c r="E16" s="28">
        <v>0</v>
      </c>
      <c r="F16" s="42" t="str">
        <f>IFERROR(ROUND(1/D3,6),"")</f>
        <v/>
      </c>
      <c r="G16" s="28" t="s">
        <v>188</v>
      </c>
    </row>
    <row r="17" spans="1:7" ht="16.95" customHeight="1" x14ac:dyDescent="0.3">
      <c r="A17" s="28" t="s">
        <v>163</v>
      </c>
      <c r="B17" s="29" t="s">
        <v>164</v>
      </c>
      <c r="C17" s="41" t="str">
        <f>IFERROR(ROUND(B4*1.06,4),"")</f>
        <v/>
      </c>
      <c r="D17" s="28">
        <v>4</v>
      </c>
      <c r="E17" s="28">
        <v>0</v>
      </c>
      <c r="F17" s="42" t="str">
        <f>IFERROR(ROUND(1/D3,6),"")</f>
        <v/>
      </c>
      <c r="G17" s="28" t="s">
        <v>188</v>
      </c>
    </row>
    <row r="18" spans="1:7" ht="16.95" customHeight="1" x14ac:dyDescent="0.3">
      <c r="A18" s="28" t="s">
        <v>165</v>
      </c>
      <c r="B18" s="29" t="s">
        <v>166</v>
      </c>
      <c r="C18" s="41" t="str">
        <f>IFERROR(ROUND(B4*1.09,4),"")</f>
        <v/>
      </c>
      <c r="D18" s="28">
        <v>4</v>
      </c>
      <c r="E18" s="28">
        <v>0</v>
      </c>
      <c r="F18" s="42" t="str">
        <f>IFERROR(ROUND(1/D3,6),"")</f>
        <v/>
      </c>
      <c r="G18" s="28" t="s">
        <v>188</v>
      </c>
    </row>
    <row r="19" spans="1:7" ht="16.95" customHeight="1" x14ac:dyDescent="0.3">
      <c r="A19" s="28" t="s">
        <v>167</v>
      </c>
      <c r="B19" s="29" t="s">
        <v>168</v>
      </c>
      <c r="C19" s="41" t="str">
        <f>IFERROR(ROUND(B4*1.12,4),"")</f>
        <v/>
      </c>
      <c r="D19" s="28">
        <v>4</v>
      </c>
      <c r="E19" s="28">
        <v>0</v>
      </c>
      <c r="F19" s="42" t="str">
        <f>IFERROR(ROUND(1/D3,6),"")</f>
        <v/>
      </c>
      <c r="G19" s="28" t="s">
        <v>188</v>
      </c>
    </row>
    <row r="20" spans="1:7" ht="16.95" customHeight="1" x14ac:dyDescent="0.3">
      <c r="A20" s="28" t="s">
        <v>169</v>
      </c>
      <c r="B20" s="29" t="s">
        <v>170</v>
      </c>
      <c r="C20" s="41" t="str">
        <f>IFERROR(ROUND(B4*1.15,4),"")</f>
        <v/>
      </c>
      <c r="D20" s="28">
        <v>4</v>
      </c>
      <c r="E20" s="28">
        <v>0</v>
      </c>
      <c r="F20" s="42" t="str">
        <f>IFERROR(ROUND(1/D3,6),"")</f>
        <v/>
      </c>
      <c r="G20" s="28" t="s">
        <v>188</v>
      </c>
    </row>
    <row r="21" spans="1:7" ht="16.95" customHeight="1" x14ac:dyDescent="0.3">
      <c r="A21" s="28" t="s">
        <v>171</v>
      </c>
      <c r="B21" s="29" t="s">
        <v>172</v>
      </c>
      <c r="C21" s="41" t="str">
        <f>IFERROR(ROUND(B4*1.18,4),"")</f>
        <v/>
      </c>
      <c r="D21" s="28">
        <v>4</v>
      </c>
      <c r="E21" s="28">
        <v>0</v>
      </c>
      <c r="F21" s="42" t="str">
        <f>IFERROR(ROUND(1/D3,6),"")</f>
        <v/>
      </c>
      <c r="G21" s="28" t="s">
        <v>188</v>
      </c>
    </row>
    <row r="22" spans="1:7" ht="16.95" customHeight="1" x14ac:dyDescent="0.3">
      <c r="A22" s="28" t="s">
        <v>173</v>
      </c>
      <c r="B22" s="29" t="s">
        <v>174</v>
      </c>
      <c r="C22" s="41" t="str">
        <f>IFERROR(ROUND(B4*1.21,4),"")</f>
        <v/>
      </c>
      <c r="D22" s="28">
        <v>4</v>
      </c>
      <c r="E22" s="28">
        <v>0</v>
      </c>
      <c r="F22" s="42" t="str">
        <f>IFERROR(ROUND(1/D3,6),"")</f>
        <v/>
      </c>
      <c r="G22" s="28" t="s">
        <v>188</v>
      </c>
    </row>
    <row r="23" spans="1:7" ht="16.95" customHeight="1" x14ac:dyDescent="0.3">
      <c r="A23" s="28" t="s">
        <v>175</v>
      </c>
      <c r="B23" s="29" t="s">
        <v>176</v>
      </c>
      <c r="C23" s="41" t="str">
        <f>IFERROR(ROUND(B4*1.33,4),"")</f>
        <v/>
      </c>
      <c r="D23" s="28">
        <v>4</v>
      </c>
      <c r="E23" s="28">
        <v>0</v>
      </c>
      <c r="F23" s="42" t="str">
        <f>IFERROR(ROUND(1/D3,6),"")</f>
        <v/>
      </c>
      <c r="G23" s="28" t="s">
        <v>188</v>
      </c>
    </row>
    <row r="24" spans="1:7" ht="16.95" customHeight="1" x14ac:dyDescent="0.3">
      <c r="A24" s="28" t="s">
        <v>177</v>
      </c>
      <c r="B24" s="29" t="s">
        <v>178</v>
      </c>
      <c r="C24" s="41" t="str">
        <f>IFERROR(ROUND(B4*1.36,4),"")</f>
        <v/>
      </c>
      <c r="D24" s="28">
        <v>4</v>
      </c>
      <c r="E24" s="28">
        <v>0</v>
      </c>
      <c r="F24" s="42" t="str">
        <f>IFERROR(ROUND(1/D3,6),"")</f>
        <v/>
      </c>
      <c r="G24" s="28" t="s">
        <v>188</v>
      </c>
    </row>
  </sheetData>
  <mergeCells count="1">
    <mergeCell ref="A1:G1"/>
  </mergeCells>
  <dataValidations count="1">
    <dataValidation type="list" allowBlank="1" sqref="D2" xr:uid="{00000000-0002-0000-0600-000001000000}">
      <formula1>"BT,PL,BR,BL,ASP,STD,ESP,BI,MAD"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0000000}">
          <x14:formula1>
            <xm:f>PERFILES!$A$3:$A$202</xm:f>
          </x14:formula1>
          <xm:sqref>B2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7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5" customWidth="1"/>
    <col min="2" max="2" width="7" customWidth="1"/>
    <col min="3" max="3" width="6" customWidth="1"/>
    <col min="4" max="4" width="7" customWidth="1"/>
    <col min="5" max="5" width="10" customWidth="1"/>
    <col min="6" max="6" width="13" customWidth="1"/>
    <col min="7" max="8" width="16" customWidth="1"/>
    <col min="9" max="9" width="17" customWidth="1"/>
    <col min="10" max="10" width="7" customWidth="1"/>
    <col min="11" max="11" width="11" customWidth="1"/>
    <col min="12" max="12" width="8" customWidth="1"/>
  </cols>
  <sheetData>
    <row r="1" spans="1:12" x14ac:dyDescent="0.3">
      <c r="A1" s="2" t="s">
        <v>189</v>
      </c>
      <c r="B1" s="2" t="s">
        <v>78</v>
      </c>
      <c r="C1" s="2" t="s">
        <v>77</v>
      </c>
      <c r="D1" s="2" t="s">
        <v>16</v>
      </c>
      <c r="E1" s="2" t="s">
        <v>151</v>
      </c>
      <c r="F1" s="2" t="s">
        <v>138</v>
      </c>
      <c r="G1" s="2" t="s">
        <v>190</v>
      </c>
      <c r="H1" s="2" t="s">
        <v>191</v>
      </c>
      <c r="I1" s="2" t="s">
        <v>192</v>
      </c>
      <c r="J1" s="2" t="s">
        <v>79</v>
      </c>
      <c r="K1" s="2" t="s">
        <v>43</v>
      </c>
      <c r="L1" s="2" t="s">
        <v>71</v>
      </c>
    </row>
    <row r="2" spans="1:12" x14ac:dyDescent="0.3">
      <c r="A2" t="s">
        <v>193</v>
      </c>
      <c r="B2">
        <v>3</v>
      </c>
      <c r="C2">
        <v>2</v>
      </c>
      <c r="D2" t="s">
        <v>194</v>
      </c>
      <c r="E2">
        <v>4.2935999999999996</v>
      </c>
      <c r="F2">
        <v>1</v>
      </c>
      <c r="G2">
        <v>5</v>
      </c>
      <c r="H2">
        <v>5</v>
      </c>
      <c r="I2">
        <v>0</v>
      </c>
      <c r="J2">
        <v>5</v>
      </c>
      <c r="K2">
        <v>428</v>
      </c>
      <c r="L2">
        <v>0</v>
      </c>
    </row>
    <row r="3" spans="1:12" x14ac:dyDescent="0.3">
      <c r="A3" t="s">
        <v>195</v>
      </c>
      <c r="B3">
        <v>3</v>
      </c>
      <c r="C3">
        <v>2</v>
      </c>
      <c r="D3" t="s">
        <v>194</v>
      </c>
      <c r="E3">
        <v>2.7069999999999999</v>
      </c>
      <c r="F3">
        <v>1</v>
      </c>
      <c r="G3">
        <v>5</v>
      </c>
      <c r="H3">
        <v>5</v>
      </c>
      <c r="I3">
        <v>0</v>
      </c>
      <c r="J3">
        <v>6</v>
      </c>
      <c r="K3">
        <v>428</v>
      </c>
      <c r="L3">
        <v>0</v>
      </c>
    </row>
    <row r="4" spans="1:12" x14ac:dyDescent="0.3">
      <c r="A4" t="s">
        <v>196</v>
      </c>
      <c r="B4">
        <v>3</v>
      </c>
      <c r="C4">
        <v>2</v>
      </c>
      <c r="D4" t="s">
        <v>194</v>
      </c>
      <c r="E4">
        <v>4.2935999999999996</v>
      </c>
      <c r="F4">
        <v>1</v>
      </c>
      <c r="G4">
        <v>5</v>
      </c>
      <c r="H4">
        <v>5</v>
      </c>
      <c r="I4">
        <v>0</v>
      </c>
      <c r="J4">
        <v>5</v>
      </c>
      <c r="K4">
        <v>428</v>
      </c>
      <c r="L4">
        <v>0</v>
      </c>
    </row>
    <row r="5" spans="1:12" x14ac:dyDescent="0.3">
      <c r="A5" t="s">
        <v>197</v>
      </c>
      <c r="B5">
        <v>3</v>
      </c>
      <c r="C5">
        <v>2</v>
      </c>
      <c r="D5" t="s">
        <v>194</v>
      </c>
      <c r="E5">
        <v>4.2935999999999996</v>
      </c>
      <c r="F5">
        <v>1</v>
      </c>
      <c r="G5">
        <v>5</v>
      </c>
      <c r="H5">
        <v>5</v>
      </c>
      <c r="I5">
        <v>0</v>
      </c>
      <c r="J5">
        <v>5</v>
      </c>
      <c r="K5">
        <v>428</v>
      </c>
      <c r="L5">
        <v>0</v>
      </c>
    </row>
    <row r="6" spans="1:12" x14ac:dyDescent="0.3">
      <c r="A6" t="s">
        <v>198</v>
      </c>
      <c r="B6">
        <v>3</v>
      </c>
      <c r="C6">
        <v>2</v>
      </c>
      <c r="D6" t="s">
        <v>194</v>
      </c>
      <c r="E6">
        <v>4.4839000000000002</v>
      </c>
      <c r="F6">
        <v>1</v>
      </c>
      <c r="G6">
        <v>5</v>
      </c>
      <c r="H6">
        <v>5</v>
      </c>
      <c r="I6">
        <v>0</v>
      </c>
      <c r="J6">
        <v>5</v>
      </c>
      <c r="K6">
        <v>428</v>
      </c>
      <c r="L6">
        <v>0</v>
      </c>
    </row>
    <row r="7" spans="1:12" x14ac:dyDescent="0.3">
      <c r="A7" t="s">
        <v>199</v>
      </c>
      <c r="B7">
        <v>3</v>
      </c>
      <c r="C7">
        <v>2</v>
      </c>
      <c r="D7" t="s">
        <v>194</v>
      </c>
      <c r="E7">
        <v>4.4839000000000002</v>
      </c>
      <c r="F7">
        <v>1</v>
      </c>
      <c r="G7">
        <v>5</v>
      </c>
      <c r="H7">
        <v>5</v>
      </c>
      <c r="I7">
        <v>0</v>
      </c>
      <c r="J7">
        <v>7</v>
      </c>
      <c r="K7">
        <v>428</v>
      </c>
      <c r="L7">
        <v>60</v>
      </c>
    </row>
    <row r="8" spans="1:12" x14ac:dyDescent="0.3">
      <c r="A8" t="s">
        <v>200</v>
      </c>
      <c r="B8">
        <v>3</v>
      </c>
      <c r="C8">
        <v>2</v>
      </c>
      <c r="D8" t="s">
        <v>194</v>
      </c>
      <c r="E8">
        <v>2.7069999999999999</v>
      </c>
      <c r="F8">
        <v>1</v>
      </c>
      <c r="G8">
        <v>5</v>
      </c>
      <c r="H8">
        <v>5</v>
      </c>
      <c r="I8">
        <v>0</v>
      </c>
      <c r="J8">
        <v>6</v>
      </c>
      <c r="K8">
        <v>428</v>
      </c>
      <c r="L8">
        <v>0</v>
      </c>
    </row>
    <row r="9" spans="1:12" x14ac:dyDescent="0.3">
      <c r="A9" t="s">
        <v>201</v>
      </c>
      <c r="B9">
        <v>3</v>
      </c>
      <c r="C9">
        <v>2</v>
      </c>
      <c r="D9" t="s">
        <v>194</v>
      </c>
      <c r="E9">
        <v>4.2935999999999996</v>
      </c>
      <c r="F9">
        <v>1</v>
      </c>
      <c r="G9">
        <v>5</v>
      </c>
      <c r="H9">
        <v>5</v>
      </c>
      <c r="I9">
        <v>0</v>
      </c>
      <c r="J9">
        <v>5</v>
      </c>
      <c r="K9">
        <v>428</v>
      </c>
      <c r="L9">
        <v>0</v>
      </c>
    </row>
    <row r="10" spans="1:12" x14ac:dyDescent="0.3">
      <c r="A10" t="s">
        <v>202</v>
      </c>
      <c r="B10">
        <v>3</v>
      </c>
      <c r="C10">
        <v>2</v>
      </c>
      <c r="D10" t="s">
        <v>194</v>
      </c>
      <c r="E10">
        <v>2.5632000000000001</v>
      </c>
      <c r="F10">
        <v>1</v>
      </c>
      <c r="G10">
        <v>5</v>
      </c>
      <c r="H10">
        <v>5</v>
      </c>
      <c r="I10">
        <v>0</v>
      </c>
      <c r="J10">
        <v>6</v>
      </c>
      <c r="K10">
        <v>428</v>
      </c>
      <c r="L10">
        <v>0</v>
      </c>
    </row>
    <row r="11" spans="1:12" x14ac:dyDescent="0.3">
      <c r="A11" t="s">
        <v>203</v>
      </c>
      <c r="B11">
        <v>3</v>
      </c>
      <c r="C11">
        <v>2</v>
      </c>
      <c r="D11" t="s">
        <v>194</v>
      </c>
      <c r="E11">
        <v>4.2935999999999996</v>
      </c>
      <c r="F11">
        <v>1</v>
      </c>
      <c r="G11">
        <v>5</v>
      </c>
      <c r="H11">
        <v>5</v>
      </c>
      <c r="I11">
        <v>0</v>
      </c>
      <c r="J11">
        <v>5</v>
      </c>
      <c r="K11">
        <v>428</v>
      </c>
      <c r="L11">
        <v>0</v>
      </c>
    </row>
    <row r="12" spans="1:12" x14ac:dyDescent="0.3">
      <c r="A12" t="s">
        <v>204</v>
      </c>
      <c r="B12">
        <v>3</v>
      </c>
      <c r="C12">
        <v>2</v>
      </c>
      <c r="D12" t="s">
        <v>194</v>
      </c>
      <c r="E12">
        <v>5.9950000000000001</v>
      </c>
      <c r="F12">
        <v>1</v>
      </c>
      <c r="G12">
        <v>5</v>
      </c>
      <c r="H12">
        <v>5</v>
      </c>
      <c r="I12">
        <v>0</v>
      </c>
      <c r="J12">
        <v>9</v>
      </c>
      <c r="K12">
        <v>429</v>
      </c>
      <c r="L12">
        <v>0</v>
      </c>
    </row>
    <row r="13" spans="1:12" x14ac:dyDescent="0.3">
      <c r="A13" t="s">
        <v>205</v>
      </c>
      <c r="B13">
        <v>3</v>
      </c>
      <c r="C13">
        <v>2</v>
      </c>
      <c r="D13" t="s">
        <v>194</v>
      </c>
      <c r="E13">
        <v>2.7069999999999999</v>
      </c>
      <c r="F13">
        <v>1</v>
      </c>
      <c r="G13">
        <v>5</v>
      </c>
      <c r="H13">
        <v>5</v>
      </c>
      <c r="I13">
        <v>0</v>
      </c>
      <c r="J13">
        <v>6</v>
      </c>
      <c r="K13">
        <v>428</v>
      </c>
      <c r="L13">
        <v>0</v>
      </c>
    </row>
    <row r="14" spans="1:12" x14ac:dyDescent="0.3">
      <c r="A14" t="s">
        <v>206</v>
      </c>
      <c r="B14">
        <v>3</v>
      </c>
      <c r="C14">
        <v>2</v>
      </c>
      <c r="D14" t="s">
        <v>194</v>
      </c>
      <c r="E14">
        <v>4.2935999999999996</v>
      </c>
      <c r="F14">
        <v>1</v>
      </c>
      <c r="G14">
        <v>5</v>
      </c>
      <c r="H14">
        <v>5</v>
      </c>
      <c r="I14">
        <v>0</v>
      </c>
      <c r="J14">
        <v>5</v>
      </c>
      <c r="K14">
        <v>428</v>
      </c>
      <c r="L14">
        <v>0</v>
      </c>
    </row>
    <row r="15" spans="1:12" x14ac:dyDescent="0.3">
      <c r="A15" t="s">
        <v>207</v>
      </c>
      <c r="B15">
        <v>3</v>
      </c>
      <c r="C15">
        <v>2</v>
      </c>
      <c r="D15" t="s">
        <v>194</v>
      </c>
      <c r="E15">
        <v>2.7069999999999999</v>
      </c>
      <c r="F15">
        <v>1</v>
      </c>
      <c r="G15">
        <v>5</v>
      </c>
      <c r="H15">
        <v>5</v>
      </c>
      <c r="I15">
        <v>0</v>
      </c>
      <c r="J15">
        <v>6</v>
      </c>
      <c r="K15">
        <v>428</v>
      </c>
      <c r="L15">
        <v>0</v>
      </c>
    </row>
    <row r="16" spans="1:12" x14ac:dyDescent="0.3">
      <c r="A16" t="s">
        <v>208</v>
      </c>
      <c r="B16">
        <v>3</v>
      </c>
      <c r="C16">
        <v>2</v>
      </c>
      <c r="D16" t="s">
        <v>194</v>
      </c>
      <c r="E16">
        <v>2.7069999999999999</v>
      </c>
      <c r="F16">
        <v>1</v>
      </c>
      <c r="G16">
        <v>5</v>
      </c>
      <c r="H16">
        <v>5</v>
      </c>
      <c r="I16">
        <v>0</v>
      </c>
      <c r="J16">
        <v>6</v>
      </c>
      <c r="K16">
        <v>428</v>
      </c>
      <c r="L16">
        <v>0</v>
      </c>
    </row>
    <row r="17" spans="1:12" x14ac:dyDescent="0.3">
      <c r="A17" t="s">
        <v>209</v>
      </c>
      <c r="B17">
        <v>3</v>
      </c>
      <c r="C17">
        <v>2</v>
      </c>
      <c r="D17" t="s">
        <v>194</v>
      </c>
      <c r="E17">
        <v>2.7038000000000002</v>
      </c>
      <c r="F17">
        <v>1</v>
      </c>
      <c r="G17">
        <v>5</v>
      </c>
      <c r="H17">
        <v>5</v>
      </c>
      <c r="I17">
        <v>0</v>
      </c>
      <c r="J17">
        <v>5</v>
      </c>
      <c r="K17">
        <v>428</v>
      </c>
      <c r="L17">
        <v>0</v>
      </c>
    </row>
    <row r="18" spans="1:12" x14ac:dyDescent="0.3">
      <c r="A18" t="s">
        <v>210</v>
      </c>
      <c r="B18">
        <v>3</v>
      </c>
      <c r="C18">
        <v>2</v>
      </c>
      <c r="D18" t="s">
        <v>194</v>
      </c>
      <c r="E18">
        <v>4.2935999999999996</v>
      </c>
      <c r="F18">
        <v>1</v>
      </c>
      <c r="G18">
        <v>5</v>
      </c>
      <c r="H18">
        <v>5</v>
      </c>
      <c r="I18">
        <v>0</v>
      </c>
      <c r="J18">
        <v>5</v>
      </c>
      <c r="K18">
        <v>428</v>
      </c>
      <c r="L18">
        <v>0</v>
      </c>
    </row>
    <row r="19" spans="1:12" x14ac:dyDescent="0.3">
      <c r="A19" t="s">
        <v>211</v>
      </c>
      <c r="B19">
        <v>3</v>
      </c>
      <c r="C19">
        <v>2</v>
      </c>
      <c r="D19" t="s">
        <v>194</v>
      </c>
      <c r="E19">
        <v>2.7069999999999999</v>
      </c>
      <c r="F19">
        <v>1</v>
      </c>
      <c r="G19">
        <v>5</v>
      </c>
      <c r="H19">
        <v>5</v>
      </c>
      <c r="I19">
        <v>0</v>
      </c>
      <c r="J19">
        <v>6</v>
      </c>
      <c r="K19">
        <v>428</v>
      </c>
      <c r="L19">
        <v>0</v>
      </c>
    </row>
    <row r="20" spans="1:12" x14ac:dyDescent="0.3">
      <c r="A20" t="s">
        <v>212</v>
      </c>
      <c r="B20">
        <v>3</v>
      </c>
      <c r="C20">
        <v>2</v>
      </c>
      <c r="D20" t="s">
        <v>194</v>
      </c>
      <c r="E20">
        <v>4.2935999999999996</v>
      </c>
      <c r="F20">
        <v>1</v>
      </c>
      <c r="G20">
        <v>5</v>
      </c>
      <c r="H20">
        <v>5</v>
      </c>
      <c r="I20">
        <v>0</v>
      </c>
      <c r="J20">
        <v>5</v>
      </c>
      <c r="K20">
        <v>428</v>
      </c>
      <c r="L20">
        <v>0</v>
      </c>
    </row>
    <row r="21" spans="1:12" x14ac:dyDescent="0.3">
      <c r="A21" t="s">
        <v>213</v>
      </c>
      <c r="B21">
        <v>3</v>
      </c>
      <c r="C21">
        <v>2</v>
      </c>
      <c r="D21" t="s">
        <v>194</v>
      </c>
      <c r="E21">
        <v>4.2935999999999996</v>
      </c>
      <c r="F21">
        <v>1</v>
      </c>
      <c r="G21">
        <v>5</v>
      </c>
      <c r="H21">
        <v>5</v>
      </c>
      <c r="I21">
        <v>0</v>
      </c>
      <c r="J21">
        <v>5</v>
      </c>
      <c r="K21">
        <v>428</v>
      </c>
      <c r="L21">
        <v>0</v>
      </c>
    </row>
    <row r="22" spans="1:12" x14ac:dyDescent="0.3">
      <c r="A22" t="s">
        <v>214</v>
      </c>
      <c r="B22">
        <v>3</v>
      </c>
      <c r="C22">
        <v>2</v>
      </c>
      <c r="D22" t="s">
        <v>194</v>
      </c>
      <c r="E22">
        <v>3.85</v>
      </c>
      <c r="F22">
        <v>1</v>
      </c>
      <c r="G22">
        <v>5</v>
      </c>
      <c r="H22">
        <v>5</v>
      </c>
      <c r="I22">
        <v>0</v>
      </c>
      <c r="J22">
        <v>5</v>
      </c>
      <c r="K22">
        <v>679</v>
      </c>
      <c r="L22">
        <v>0</v>
      </c>
    </row>
    <row r="23" spans="1:12" x14ac:dyDescent="0.3">
      <c r="A23" t="s">
        <v>215</v>
      </c>
      <c r="B23">
        <v>3</v>
      </c>
      <c r="C23">
        <v>2</v>
      </c>
      <c r="D23" t="s">
        <v>194</v>
      </c>
      <c r="E23">
        <v>4.2935999999999996</v>
      </c>
      <c r="F23">
        <v>1</v>
      </c>
      <c r="G23">
        <v>5</v>
      </c>
      <c r="H23">
        <v>5</v>
      </c>
      <c r="I23">
        <v>0</v>
      </c>
      <c r="J23">
        <v>5</v>
      </c>
      <c r="K23">
        <v>428</v>
      </c>
      <c r="L23">
        <v>0</v>
      </c>
    </row>
    <row r="24" spans="1:12" x14ac:dyDescent="0.3">
      <c r="A24" t="s">
        <v>216</v>
      </c>
      <c r="B24">
        <v>3</v>
      </c>
      <c r="C24">
        <v>2</v>
      </c>
      <c r="D24" t="s">
        <v>194</v>
      </c>
      <c r="E24">
        <v>4.2935999999999996</v>
      </c>
      <c r="F24">
        <v>1</v>
      </c>
      <c r="G24">
        <v>5</v>
      </c>
      <c r="H24">
        <v>5</v>
      </c>
      <c r="I24">
        <v>0</v>
      </c>
      <c r="J24">
        <v>5</v>
      </c>
      <c r="K24">
        <v>428</v>
      </c>
      <c r="L24">
        <v>0</v>
      </c>
    </row>
    <row r="25" spans="1:12" x14ac:dyDescent="0.3">
      <c r="A25" t="s">
        <v>217</v>
      </c>
      <c r="B25">
        <v>3</v>
      </c>
      <c r="C25">
        <v>2</v>
      </c>
      <c r="D25" t="s">
        <v>194</v>
      </c>
      <c r="E25">
        <v>2.7069999999999999</v>
      </c>
      <c r="F25">
        <v>1</v>
      </c>
      <c r="G25">
        <v>5</v>
      </c>
      <c r="H25">
        <v>5</v>
      </c>
      <c r="I25">
        <v>0</v>
      </c>
      <c r="J25">
        <v>6</v>
      </c>
      <c r="K25">
        <v>428</v>
      </c>
      <c r="L25">
        <v>0</v>
      </c>
    </row>
    <row r="26" spans="1:12" x14ac:dyDescent="0.3">
      <c r="A26" t="s">
        <v>218</v>
      </c>
      <c r="B26">
        <v>3</v>
      </c>
      <c r="C26">
        <v>2</v>
      </c>
      <c r="D26" t="s">
        <v>194</v>
      </c>
      <c r="E26">
        <v>4.2935999999999996</v>
      </c>
      <c r="F26">
        <v>1</v>
      </c>
      <c r="G26">
        <v>5</v>
      </c>
      <c r="H26">
        <v>5</v>
      </c>
      <c r="I26">
        <v>0</v>
      </c>
      <c r="J26">
        <v>5</v>
      </c>
      <c r="K26">
        <v>428</v>
      </c>
      <c r="L26">
        <v>0</v>
      </c>
    </row>
    <row r="27" spans="1:12" x14ac:dyDescent="0.3">
      <c r="A27" t="s">
        <v>219</v>
      </c>
      <c r="B27">
        <v>3</v>
      </c>
      <c r="C27">
        <v>2</v>
      </c>
      <c r="D27" t="s">
        <v>194</v>
      </c>
      <c r="E27">
        <v>4.2935999999999996</v>
      </c>
      <c r="F27">
        <v>1</v>
      </c>
      <c r="G27">
        <v>5</v>
      </c>
      <c r="H27">
        <v>5</v>
      </c>
      <c r="I27">
        <v>0</v>
      </c>
      <c r="J27">
        <v>5</v>
      </c>
      <c r="K27">
        <v>428</v>
      </c>
      <c r="L27">
        <v>0</v>
      </c>
    </row>
    <row r="28" spans="1:12" x14ac:dyDescent="0.3">
      <c r="A28" t="s">
        <v>220</v>
      </c>
      <c r="B28">
        <v>3</v>
      </c>
      <c r="C28">
        <v>2</v>
      </c>
      <c r="D28" t="s">
        <v>194</v>
      </c>
      <c r="E28">
        <v>4.2935999999999996</v>
      </c>
      <c r="F28">
        <v>1</v>
      </c>
      <c r="G28">
        <v>5</v>
      </c>
      <c r="H28">
        <v>5</v>
      </c>
      <c r="I28">
        <v>0</v>
      </c>
      <c r="J28">
        <v>5</v>
      </c>
      <c r="K28">
        <v>428</v>
      </c>
      <c r="L28">
        <v>0</v>
      </c>
    </row>
    <row r="29" spans="1:12" x14ac:dyDescent="0.3">
      <c r="A29" t="s">
        <v>221</v>
      </c>
      <c r="B29">
        <v>3</v>
      </c>
      <c r="C29">
        <v>2</v>
      </c>
      <c r="D29" t="s">
        <v>194</v>
      </c>
      <c r="E29">
        <v>2.7069999999999999</v>
      </c>
      <c r="F29">
        <v>1</v>
      </c>
      <c r="G29">
        <v>5</v>
      </c>
      <c r="H29">
        <v>5</v>
      </c>
      <c r="I29">
        <v>0</v>
      </c>
      <c r="J29">
        <v>6</v>
      </c>
      <c r="K29">
        <v>428</v>
      </c>
      <c r="L29">
        <v>0</v>
      </c>
    </row>
    <row r="30" spans="1:12" x14ac:dyDescent="0.3">
      <c r="A30" t="s">
        <v>222</v>
      </c>
      <c r="B30">
        <v>3</v>
      </c>
      <c r="C30">
        <v>2</v>
      </c>
      <c r="D30" t="s">
        <v>194</v>
      </c>
      <c r="E30">
        <v>4.2935999999999996</v>
      </c>
      <c r="F30">
        <v>1</v>
      </c>
      <c r="G30">
        <v>5</v>
      </c>
      <c r="H30">
        <v>5</v>
      </c>
      <c r="I30">
        <v>0</v>
      </c>
      <c r="J30">
        <v>5</v>
      </c>
      <c r="K30">
        <v>428</v>
      </c>
      <c r="L30">
        <v>0</v>
      </c>
    </row>
    <row r="31" spans="1:12" x14ac:dyDescent="0.3">
      <c r="A31" t="s">
        <v>223</v>
      </c>
      <c r="B31">
        <v>3</v>
      </c>
      <c r="C31">
        <v>2</v>
      </c>
      <c r="D31" t="s">
        <v>194</v>
      </c>
      <c r="E31">
        <v>2.7069999999999999</v>
      </c>
      <c r="F31">
        <v>1</v>
      </c>
      <c r="G31">
        <v>5</v>
      </c>
      <c r="H31">
        <v>5</v>
      </c>
      <c r="I31">
        <v>0</v>
      </c>
      <c r="J31">
        <v>6</v>
      </c>
      <c r="K31">
        <v>428</v>
      </c>
      <c r="L31">
        <v>0</v>
      </c>
    </row>
    <row r="32" spans="1:12" x14ac:dyDescent="0.3">
      <c r="A32" t="s">
        <v>224</v>
      </c>
      <c r="B32">
        <v>3</v>
      </c>
      <c r="C32">
        <v>2</v>
      </c>
      <c r="D32" t="s">
        <v>194</v>
      </c>
      <c r="E32">
        <v>4.2935999999999996</v>
      </c>
      <c r="F32">
        <v>1</v>
      </c>
      <c r="G32">
        <v>5</v>
      </c>
      <c r="H32">
        <v>5</v>
      </c>
      <c r="I32">
        <v>0</v>
      </c>
      <c r="J32">
        <v>5</v>
      </c>
      <c r="K32">
        <v>428</v>
      </c>
      <c r="L32">
        <v>0</v>
      </c>
    </row>
    <row r="33" spans="1:12" x14ac:dyDescent="0.3">
      <c r="A33" t="s">
        <v>225</v>
      </c>
      <c r="B33">
        <v>3</v>
      </c>
      <c r="C33">
        <v>2</v>
      </c>
      <c r="D33" t="s">
        <v>194</v>
      </c>
      <c r="E33">
        <v>2.7069999999999999</v>
      </c>
      <c r="F33">
        <v>1</v>
      </c>
      <c r="G33">
        <v>5</v>
      </c>
      <c r="H33">
        <v>5</v>
      </c>
      <c r="I33">
        <v>0</v>
      </c>
      <c r="J33">
        <v>6</v>
      </c>
      <c r="K33">
        <v>428</v>
      </c>
      <c r="L33">
        <v>0</v>
      </c>
    </row>
    <row r="34" spans="1:12" x14ac:dyDescent="0.3">
      <c r="A34" t="s">
        <v>226</v>
      </c>
      <c r="B34">
        <v>3</v>
      </c>
      <c r="C34">
        <v>2</v>
      </c>
      <c r="D34" t="s">
        <v>194</v>
      </c>
      <c r="E34">
        <v>4.2935999999999996</v>
      </c>
      <c r="F34">
        <v>1</v>
      </c>
      <c r="G34">
        <v>5</v>
      </c>
      <c r="H34">
        <v>5</v>
      </c>
      <c r="I34">
        <v>0</v>
      </c>
      <c r="J34">
        <v>5</v>
      </c>
      <c r="K34">
        <v>428</v>
      </c>
      <c r="L34">
        <v>0</v>
      </c>
    </row>
    <row r="35" spans="1:12" x14ac:dyDescent="0.3">
      <c r="A35" t="s">
        <v>227</v>
      </c>
      <c r="B35">
        <v>3</v>
      </c>
      <c r="C35">
        <v>2</v>
      </c>
      <c r="D35" t="s">
        <v>194</v>
      </c>
      <c r="E35">
        <v>4.2935999999999996</v>
      </c>
      <c r="F35">
        <v>1</v>
      </c>
      <c r="G35">
        <v>5</v>
      </c>
      <c r="H35">
        <v>5</v>
      </c>
      <c r="I35">
        <v>0</v>
      </c>
      <c r="J35">
        <v>5</v>
      </c>
      <c r="K35">
        <v>428</v>
      </c>
      <c r="L35">
        <v>0</v>
      </c>
    </row>
    <row r="36" spans="1:12" x14ac:dyDescent="0.3">
      <c r="A36" t="s">
        <v>228</v>
      </c>
      <c r="B36">
        <v>3</v>
      </c>
      <c r="C36">
        <v>2</v>
      </c>
      <c r="D36" t="s">
        <v>194</v>
      </c>
      <c r="E36">
        <v>2.7069999999999999</v>
      </c>
      <c r="F36">
        <v>1</v>
      </c>
      <c r="G36">
        <v>5</v>
      </c>
      <c r="H36">
        <v>5</v>
      </c>
      <c r="I36">
        <v>0</v>
      </c>
      <c r="J36">
        <v>6</v>
      </c>
      <c r="K36">
        <v>428</v>
      </c>
      <c r="L36">
        <v>0</v>
      </c>
    </row>
    <row r="37" spans="1:12" x14ac:dyDescent="0.3">
      <c r="A37" t="s">
        <v>229</v>
      </c>
      <c r="B37">
        <v>3</v>
      </c>
      <c r="C37">
        <v>2</v>
      </c>
      <c r="D37" t="s">
        <v>194</v>
      </c>
      <c r="E37">
        <v>4.4839000000000002</v>
      </c>
      <c r="F37">
        <v>1</v>
      </c>
      <c r="G37">
        <v>5</v>
      </c>
      <c r="H37">
        <v>5</v>
      </c>
      <c r="I37">
        <v>0</v>
      </c>
      <c r="J37">
        <v>5</v>
      </c>
      <c r="K37">
        <v>428</v>
      </c>
      <c r="L37">
        <v>0</v>
      </c>
    </row>
    <row r="38" spans="1:12" x14ac:dyDescent="0.3">
      <c r="A38" t="s">
        <v>230</v>
      </c>
      <c r="B38">
        <v>3</v>
      </c>
      <c r="C38">
        <v>2</v>
      </c>
      <c r="D38" t="s">
        <v>194</v>
      </c>
      <c r="E38">
        <v>4.4839000000000002</v>
      </c>
      <c r="F38">
        <v>1</v>
      </c>
      <c r="G38">
        <v>5</v>
      </c>
      <c r="H38">
        <v>5</v>
      </c>
      <c r="I38">
        <v>0</v>
      </c>
      <c r="J38">
        <v>5</v>
      </c>
      <c r="K38">
        <v>428</v>
      </c>
      <c r="L38">
        <v>0</v>
      </c>
    </row>
    <row r="39" spans="1:12" x14ac:dyDescent="0.3">
      <c r="A39" t="s">
        <v>231</v>
      </c>
      <c r="B39">
        <v>3</v>
      </c>
      <c r="C39">
        <v>2</v>
      </c>
      <c r="D39" t="s">
        <v>194</v>
      </c>
      <c r="E39">
        <v>4.2935999999999996</v>
      </c>
      <c r="F39">
        <v>1</v>
      </c>
      <c r="G39">
        <v>5</v>
      </c>
      <c r="H39">
        <v>5</v>
      </c>
      <c r="I39">
        <v>0</v>
      </c>
      <c r="J39">
        <v>5</v>
      </c>
      <c r="K39">
        <v>428</v>
      </c>
      <c r="L39">
        <v>0</v>
      </c>
    </row>
    <row r="40" spans="1:12" x14ac:dyDescent="0.3">
      <c r="A40" t="s">
        <v>232</v>
      </c>
      <c r="B40">
        <v>3</v>
      </c>
      <c r="C40">
        <v>2</v>
      </c>
      <c r="D40" t="s">
        <v>194</v>
      </c>
      <c r="E40">
        <v>2.7069999999999999</v>
      </c>
      <c r="F40">
        <v>1</v>
      </c>
      <c r="G40">
        <v>5</v>
      </c>
      <c r="H40">
        <v>5</v>
      </c>
      <c r="I40">
        <v>0</v>
      </c>
      <c r="J40">
        <v>6</v>
      </c>
      <c r="K40">
        <v>428</v>
      </c>
      <c r="L40">
        <v>0</v>
      </c>
    </row>
    <row r="41" spans="1:12" x14ac:dyDescent="0.3">
      <c r="A41" t="s">
        <v>233</v>
      </c>
      <c r="B41">
        <v>3</v>
      </c>
      <c r="C41">
        <v>2</v>
      </c>
      <c r="D41" t="s">
        <v>194</v>
      </c>
      <c r="E41">
        <v>2.7069999999999999</v>
      </c>
      <c r="F41">
        <v>1</v>
      </c>
      <c r="G41">
        <v>5</v>
      </c>
      <c r="H41">
        <v>5</v>
      </c>
      <c r="I41">
        <v>0</v>
      </c>
      <c r="J41">
        <v>6</v>
      </c>
      <c r="K41">
        <v>428</v>
      </c>
      <c r="L41">
        <v>0</v>
      </c>
    </row>
    <row r="42" spans="1:12" x14ac:dyDescent="0.3">
      <c r="A42" t="s">
        <v>234</v>
      </c>
      <c r="B42">
        <v>3</v>
      </c>
      <c r="C42">
        <v>2</v>
      </c>
      <c r="D42" t="s">
        <v>194</v>
      </c>
      <c r="E42">
        <v>2.7069999999999999</v>
      </c>
      <c r="F42">
        <v>1</v>
      </c>
      <c r="G42">
        <v>5</v>
      </c>
      <c r="H42">
        <v>5</v>
      </c>
      <c r="I42">
        <v>0</v>
      </c>
      <c r="J42">
        <v>6</v>
      </c>
      <c r="K42">
        <v>428</v>
      </c>
      <c r="L42">
        <v>0</v>
      </c>
    </row>
    <row r="43" spans="1:12" x14ac:dyDescent="0.3">
      <c r="A43" t="s">
        <v>235</v>
      </c>
      <c r="B43">
        <v>3</v>
      </c>
      <c r="C43">
        <v>2</v>
      </c>
      <c r="D43" t="s">
        <v>194</v>
      </c>
      <c r="E43">
        <v>2.7069999999999999</v>
      </c>
      <c r="F43">
        <v>1</v>
      </c>
      <c r="G43">
        <v>5</v>
      </c>
      <c r="H43">
        <v>5</v>
      </c>
      <c r="I43">
        <v>0</v>
      </c>
      <c r="J43">
        <v>6</v>
      </c>
      <c r="K43">
        <v>428</v>
      </c>
      <c r="L43">
        <v>0</v>
      </c>
    </row>
    <row r="44" spans="1:12" x14ac:dyDescent="0.3">
      <c r="A44" t="s">
        <v>236</v>
      </c>
      <c r="B44">
        <v>3</v>
      </c>
      <c r="C44">
        <v>2</v>
      </c>
      <c r="D44" t="s">
        <v>194</v>
      </c>
      <c r="E44">
        <v>2.7069999999999999</v>
      </c>
      <c r="F44">
        <v>1</v>
      </c>
      <c r="G44">
        <v>5</v>
      </c>
      <c r="H44">
        <v>5</v>
      </c>
      <c r="I44">
        <v>0</v>
      </c>
      <c r="J44">
        <v>6</v>
      </c>
      <c r="K44">
        <v>428</v>
      </c>
      <c r="L44">
        <v>0</v>
      </c>
    </row>
    <row r="45" spans="1:12" x14ac:dyDescent="0.3">
      <c r="A45" t="s">
        <v>237</v>
      </c>
      <c r="B45">
        <v>3</v>
      </c>
      <c r="C45">
        <v>2</v>
      </c>
      <c r="D45" t="s">
        <v>194</v>
      </c>
      <c r="E45">
        <v>2.7069999999999999</v>
      </c>
      <c r="F45">
        <v>1</v>
      </c>
      <c r="G45">
        <v>5</v>
      </c>
      <c r="H45">
        <v>5</v>
      </c>
      <c r="I45">
        <v>0</v>
      </c>
      <c r="J45">
        <v>6</v>
      </c>
      <c r="K45">
        <v>428</v>
      </c>
      <c r="L45">
        <v>0</v>
      </c>
    </row>
    <row r="46" spans="1:12" x14ac:dyDescent="0.3">
      <c r="A46" t="s">
        <v>238</v>
      </c>
      <c r="B46">
        <v>3</v>
      </c>
      <c r="C46">
        <v>2</v>
      </c>
      <c r="D46" t="s">
        <v>194</v>
      </c>
      <c r="E46">
        <v>2.7069999999999999</v>
      </c>
      <c r="F46">
        <v>1</v>
      </c>
      <c r="G46">
        <v>5</v>
      </c>
      <c r="H46">
        <v>5</v>
      </c>
      <c r="I46">
        <v>0</v>
      </c>
      <c r="J46">
        <v>6</v>
      </c>
      <c r="K46">
        <v>428</v>
      </c>
      <c r="L46">
        <v>0</v>
      </c>
    </row>
    <row r="47" spans="1:12" x14ac:dyDescent="0.3">
      <c r="A47" t="s">
        <v>239</v>
      </c>
      <c r="B47">
        <v>3</v>
      </c>
      <c r="C47">
        <v>2</v>
      </c>
      <c r="D47" t="s">
        <v>194</v>
      </c>
      <c r="E47">
        <v>2.7069999999999999</v>
      </c>
      <c r="F47">
        <v>1</v>
      </c>
      <c r="G47">
        <v>5</v>
      </c>
      <c r="H47">
        <v>5</v>
      </c>
      <c r="I47">
        <v>0</v>
      </c>
      <c r="J47">
        <v>6</v>
      </c>
      <c r="K47">
        <v>428</v>
      </c>
      <c r="L47">
        <v>0</v>
      </c>
    </row>
    <row r="48" spans="1:12" x14ac:dyDescent="0.3">
      <c r="A48" t="s">
        <v>240</v>
      </c>
      <c r="B48">
        <v>3</v>
      </c>
      <c r="C48">
        <v>2</v>
      </c>
      <c r="D48" t="s">
        <v>194</v>
      </c>
      <c r="E48">
        <v>2.7069999999999999</v>
      </c>
      <c r="F48">
        <v>1</v>
      </c>
      <c r="G48">
        <v>5</v>
      </c>
      <c r="H48">
        <v>5</v>
      </c>
      <c r="I48">
        <v>0</v>
      </c>
      <c r="J48">
        <v>6</v>
      </c>
      <c r="K48">
        <v>428</v>
      </c>
      <c r="L48">
        <v>0</v>
      </c>
    </row>
    <row r="49" spans="1:12" x14ac:dyDescent="0.3">
      <c r="A49" t="s">
        <v>241</v>
      </c>
      <c r="B49">
        <v>3</v>
      </c>
      <c r="C49">
        <v>2</v>
      </c>
      <c r="D49" t="s">
        <v>194</v>
      </c>
      <c r="E49">
        <v>2.7069999999999999</v>
      </c>
      <c r="F49">
        <v>1</v>
      </c>
      <c r="G49">
        <v>5</v>
      </c>
      <c r="H49">
        <v>5</v>
      </c>
      <c r="I49">
        <v>0</v>
      </c>
      <c r="J49">
        <v>6</v>
      </c>
      <c r="K49">
        <v>428</v>
      </c>
      <c r="L49">
        <v>0</v>
      </c>
    </row>
    <row r="50" spans="1:12" x14ac:dyDescent="0.3">
      <c r="A50" t="s">
        <v>242</v>
      </c>
      <c r="B50">
        <v>3</v>
      </c>
      <c r="C50">
        <v>2</v>
      </c>
      <c r="D50" t="s">
        <v>194</v>
      </c>
      <c r="E50">
        <v>2.7069999999999999</v>
      </c>
      <c r="F50">
        <v>1</v>
      </c>
      <c r="G50">
        <v>5</v>
      </c>
      <c r="H50">
        <v>5</v>
      </c>
      <c r="I50">
        <v>0</v>
      </c>
      <c r="J50">
        <v>7</v>
      </c>
      <c r="K50">
        <v>428</v>
      </c>
      <c r="L50">
        <v>60</v>
      </c>
    </row>
    <row r="51" spans="1:12" x14ac:dyDescent="0.3">
      <c r="A51" t="s">
        <v>243</v>
      </c>
      <c r="B51">
        <v>3</v>
      </c>
      <c r="C51">
        <v>2</v>
      </c>
      <c r="D51" t="s">
        <v>194</v>
      </c>
      <c r="E51">
        <v>4.4839000000000002</v>
      </c>
      <c r="F51">
        <v>1</v>
      </c>
      <c r="G51">
        <v>5</v>
      </c>
      <c r="H51">
        <v>5</v>
      </c>
      <c r="I51">
        <v>0</v>
      </c>
      <c r="J51">
        <v>7</v>
      </c>
      <c r="K51">
        <v>428</v>
      </c>
      <c r="L51">
        <v>0</v>
      </c>
    </row>
    <row r="52" spans="1:12" x14ac:dyDescent="0.3">
      <c r="A52" t="s">
        <v>244</v>
      </c>
      <c r="B52">
        <v>3</v>
      </c>
      <c r="C52">
        <v>2</v>
      </c>
      <c r="D52" t="s">
        <v>194</v>
      </c>
      <c r="E52">
        <v>4.4839000000000002</v>
      </c>
      <c r="F52">
        <v>1</v>
      </c>
      <c r="G52">
        <v>5</v>
      </c>
      <c r="H52">
        <v>5</v>
      </c>
      <c r="I52">
        <v>0</v>
      </c>
      <c r="J52">
        <v>5</v>
      </c>
      <c r="K52">
        <v>428</v>
      </c>
      <c r="L52">
        <v>0</v>
      </c>
    </row>
    <row r="53" spans="1:12" x14ac:dyDescent="0.3">
      <c r="A53" t="s">
        <v>245</v>
      </c>
      <c r="B53">
        <v>3</v>
      </c>
      <c r="C53">
        <v>2</v>
      </c>
      <c r="D53" t="s">
        <v>194</v>
      </c>
      <c r="E53">
        <v>5.9950000000000001</v>
      </c>
      <c r="F53">
        <v>1</v>
      </c>
      <c r="G53">
        <v>5</v>
      </c>
      <c r="H53">
        <v>5</v>
      </c>
      <c r="I53">
        <v>0</v>
      </c>
      <c r="J53">
        <v>9</v>
      </c>
      <c r="K53">
        <v>429</v>
      </c>
      <c r="L53">
        <v>0</v>
      </c>
    </row>
    <row r="54" spans="1:12" x14ac:dyDescent="0.3">
      <c r="A54" t="s">
        <v>246</v>
      </c>
      <c r="B54">
        <v>3</v>
      </c>
      <c r="C54">
        <v>2</v>
      </c>
      <c r="D54" t="s">
        <v>194</v>
      </c>
      <c r="E54">
        <v>5.9950000000000001</v>
      </c>
      <c r="F54">
        <v>1</v>
      </c>
      <c r="G54">
        <v>5</v>
      </c>
      <c r="H54">
        <v>5</v>
      </c>
      <c r="I54">
        <v>0</v>
      </c>
      <c r="J54">
        <v>9</v>
      </c>
      <c r="K54">
        <v>429</v>
      </c>
      <c r="L54">
        <v>0</v>
      </c>
    </row>
    <row r="55" spans="1:12" x14ac:dyDescent="0.3">
      <c r="A55" t="s">
        <v>247</v>
      </c>
      <c r="B55">
        <v>3</v>
      </c>
      <c r="C55">
        <v>2</v>
      </c>
      <c r="D55" t="s">
        <v>194</v>
      </c>
      <c r="E55">
        <v>3.85</v>
      </c>
      <c r="F55">
        <v>1</v>
      </c>
      <c r="G55">
        <v>5</v>
      </c>
      <c r="H55">
        <v>5</v>
      </c>
      <c r="I55">
        <v>0</v>
      </c>
      <c r="J55">
        <v>5</v>
      </c>
      <c r="K55">
        <v>679</v>
      </c>
      <c r="L55">
        <v>0</v>
      </c>
    </row>
    <row r="56" spans="1:12" x14ac:dyDescent="0.3">
      <c r="A56" t="s">
        <v>248</v>
      </c>
      <c r="B56">
        <v>3</v>
      </c>
      <c r="C56">
        <v>2</v>
      </c>
      <c r="D56" t="s">
        <v>194</v>
      </c>
      <c r="E56">
        <v>4.2935999999999996</v>
      </c>
      <c r="F56">
        <v>1</v>
      </c>
      <c r="G56">
        <v>5</v>
      </c>
      <c r="H56">
        <v>5</v>
      </c>
      <c r="I56">
        <v>0</v>
      </c>
      <c r="J56">
        <v>5</v>
      </c>
      <c r="K56">
        <v>428</v>
      </c>
      <c r="L56">
        <v>0</v>
      </c>
    </row>
    <row r="57" spans="1:12" x14ac:dyDescent="0.3">
      <c r="A57" t="s">
        <v>249</v>
      </c>
      <c r="B57">
        <v>3</v>
      </c>
      <c r="C57">
        <v>2</v>
      </c>
      <c r="D57" t="s">
        <v>194</v>
      </c>
      <c r="E57">
        <v>4.4839000000000002</v>
      </c>
      <c r="F57">
        <v>1</v>
      </c>
      <c r="G57">
        <v>5</v>
      </c>
      <c r="H57">
        <v>5</v>
      </c>
      <c r="I57">
        <v>0</v>
      </c>
      <c r="J57">
        <v>5</v>
      </c>
      <c r="K57">
        <v>428</v>
      </c>
      <c r="L57">
        <v>0</v>
      </c>
    </row>
    <row r="58" spans="1:12" x14ac:dyDescent="0.3">
      <c r="A58" t="s">
        <v>250</v>
      </c>
      <c r="B58">
        <v>3</v>
      </c>
      <c r="C58">
        <v>2</v>
      </c>
      <c r="D58" t="s">
        <v>194</v>
      </c>
      <c r="E58">
        <v>4.2935999999999996</v>
      </c>
      <c r="F58">
        <v>1</v>
      </c>
      <c r="G58">
        <v>5</v>
      </c>
      <c r="H58">
        <v>5</v>
      </c>
      <c r="I58">
        <v>0</v>
      </c>
      <c r="J58">
        <v>5</v>
      </c>
      <c r="K58">
        <v>428</v>
      </c>
      <c r="L58">
        <v>0</v>
      </c>
    </row>
    <row r="59" spans="1:12" x14ac:dyDescent="0.3">
      <c r="A59" t="s">
        <v>93</v>
      </c>
      <c r="B59">
        <v>3</v>
      </c>
      <c r="C59">
        <v>2</v>
      </c>
      <c r="D59" t="s">
        <v>194</v>
      </c>
      <c r="E59">
        <v>2.5632000000000001</v>
      </c>
      <c r="F59">
        <v>1</v>
      </c>
      <c r="G59">
        <v>5</v>
      </c>
      <c r="H59">
        <v>5</v>
      </c>
      <c r="I59">
        <v>0</v>
      </c>
      <c r="J59">
        <v>6</v>
      </c>
      <c r="K59">
        <v>428</v>
      </c>
      <c r="L59">
        <v>0</v>
      </c>
    </row>
    <row r="60" spans="1:12" x14ac:dyDescent="0.3">
      <c r="A60" t="s">
        <v>251</v>
      </c>
      <c r="B60">
        <v>3</v>
      </c>
      <c r="C60">
        <v>2</v>
      </c>
      <c r="D60" t="s">
        <v>194</v>
      </c>
      <c r="E60">
        <v>4.2935999999999996</v>
      </c>
      <c r="F60">
        <v>1</v>
      </c>
      <c r="G60">
        <v>5</v>
      </c>
      <c r="H60">
        <v>5</v>
      </c>
      <c r="I60">
        <v>0</v>
      </c>
      <c r="J60">
        <v>5</v>
      </c>
      <c r="K60">
        <v>428</v>
      </c>
      <c r="L60">
        <v>0</v>
      </c>
    </row>
    <row r="61" spans="1:12" x14ac:dyDescent="0.3">
      <c r="A61" t="s">
        <v>252</v>
      </c>
      <c r="B61">
        <v>3</v>
      </c>
      <c r="C61">
        <v>2</v>
      </c>
      <c r="D61" t="s">
        <v>194</v>
      </c>
      <c r="E61">
        <v>2.7069999999999999</v>
      </c>
      <c r="F61">
        <v>1</v>
      </c>
      <c r="G61">
        <v>5</v>
      </c>
      <c r="H61">
        <v>5</v>
      </c>
      <c r="I61">
        <v>0</v>
      </c>
      <c r="J61">
        <v>6</v>
      </c>
      <c r="K61">
        <v>428</v>
      </c>
      <c r="L61">
        <v>0</v>
      </c>
    </row>
    <row r="62" spans="1:12" x14ac:dyDescent="0.3">
      <c r="A62" t="s">
        <v>253</v>
      </c>
      <c r="B62">
        <v>3</v>
      </c>
      <c r="C62">
        <v>2</v>
      </c>
      <c r="D62" t="s">
        <v>194</v>
      </c>
      <c r="E62">
        <v>4.2935999999999996</v>
      </c>
      <c r="F62">
        <v>1</v>
      </c>
      <c r="G62">
        <v>5</v>
      </c>
      <c r="H62">
        <v>5</v>
      </c>
      <c r="I62">
        <v>0</v>
      </c>
      <c r="J62">
        <v>5</v>
      </c>
      <c r="K62">
        <v>428</v>
      </c>
      <c r="L62">
        <v>0</v>
      </c>
    </row>
    <row r="63" spans="1:12" x14ac:dyDescent="0.3">
      <c r="A63" t="s">
        <v>254</v>
      </c>
      <c r="B63">
        <v>3</v>
      </c>
      <c r="C63">
        <v>2</v>
      </c>
      <c r="D63" t="s">
        <v>194</v>
      </c>
      <c r="E63">
        <v>4.2935999999999996</v>
      </c>
      <c r="F63">
        <v>1</v>
      </c>
      <c r="G63">
        <v>5</v>
      </c>
      <c r="H63">
        <v>5</v>
      </c>
      <c r="I63">
        <v>0</v>
      </c>
      <c r="J63">
        <v>5</v>
      </c>
      <c r="K63">
        <v>428</v>
      </c>
      <c r="L63">
        <v>0</v>
      </c>
    </row>
    <row r="64" spans="1:12" x14ac:dyDescent="0.3">
      <c r="A64" t="s">
        <v>255</v>
      </c>
      <c r="B64">
        <v>3</v>
      </c>
      <c r="C64">
        <v>2</v>
      </c>
      <c r="D64" t="s">
        <v>194</v>
      </c>
      <c r="E64">
        <v>4.2935999999999996</v>
      </c>
      <c r="F64">
        <v>1</v>
      </c>
      <c r="G64">
        <v>5</v>
      </c>
      <c r="H64">
        <v>5</v>
      </c>
      <c r="I64">
        <v>0</v>
      </c>
      <c r="J64">
        <v>5</v>
      </c>
      <c r="K64">
        <v>428</v>
      </c>
      <c r="L64">
        <v>0</v>
      </c>
    </row>
    <row r="65" spans="1:12" x14ac:dyDescent="0.3">
      <c r="A65" t="s">
        <v>256</v>
      </c>
      <c r="B65">
        <v>3</v>
      </c>
      <c r="C65">
        <v>2</v>
      </c>
      <c r="D65" t="s">
        <v>194</v>
      </c>
      <c r="E65">
        <v>4.2935999999999996</v>
      </c>
      <c r="F65">
        <v>1</v>
      </c>
      <c r="G65">
        <v>5</v>
      </c>
      <c r="H65">
        <v>5</v>
      </c>
      <c r="I65">
        <v>0</v>
      </c>
      <c r="J65">
        <v>5</v>
      </c>
      <c r="K65">
        <v>428</v>
      </c>
      <c r="L65">
        <v>0</v>
      </c>
    </row>
    <row r="66" spans="1:12" x14ac:dyDescent="0.3">
      <c r="A66" t="s">
        <v>257</v>
      </c>
      <c r="B66">
        <v>3</v>
      </c>
      <c r="C66">
        <v>2</v>
      </c>
      <c r="D66" t="s">
        <v>194</v>
      </c>
      <c r="E66">
        <v>4.2935999999999996</v>
      </c>
      <c r="F66">
        <v>1</v>
      </c>
      <c r="G66">
        <v>5</v>
      </c>
      <c r="H66">
        <v>5</v>
      </c>
      <c r="I66">
        <v>0</v>
      </c>
      <c r="J66">
        <v>5</v>
      </c>
      <c r="K66">
        <v>428</v>
      </c>
      <c r="L66">
        <v>0</v>
      </c>
    </row>
    <row r="67" spans="1:12" x14ac:dyDescent="0.3">
      <c r="A67" t="s">
        <v>258</v>
      </c>
      <c r="B67">
        <v>3</v>
      </c>
      <c r="C67">
        <v>2</v>
      </c>
      <c r="D67" t="s">
        <v>194</v>
      </c>
      <c r="E67">
        <v>4.2935999999999996</v>
      </c>
      <c r="F67">
        <v>1</v>
      </c>
      <c r="G67">
        <v>5</v>
      </c>
      <c r="H67">
        <v>5</v>
      </c>
      <c r="I67">
        <v>0</v>
      </c>
      <c r="J67">
        <v>5</v>
      </c>
      <c r="K67">
        <v>428</v>
      </c>
      <c r="L67">
        <v>0</v>
      </c>
    </row>
    <row r="68" spans="1:12" x14ac:dyDescent="0.3">
      <c r="A68" t="s">
        <v>259</v>
      </c>
      <c r="B68">
        <v>3</v>
      </c>
      <c r="C68">
        <v>2</v>
      </c>
      <c r="D68" t="s">
        <v>194</v>
      </c>
      <c r="E68">
        <v>4.2935999999999996</v>
      </c>
      <c r="F68">
        <v>1</v>
      </c>
      <c r="G68">
        <v>5</v>
      </c>
      <c r="H68">
        <v>5</v>
      </c>
      <c r="I68">
        <v>0</v>
      </c>
      <c r="J68">
        <v>5</v>
      </c>
      <c r="K68">
        <v>428</v>
      </c>
      <c r="L68">
        <v>0</v>
      </c>
    </row>
    <row r="69" spans="1:12" x14ac:dyDescent="0.3">
      <c r="A69" t="s">
        <v>260</v>
      </c>
      <c r="B69">
        <v>3</v>
      </c>
      <c r="C69">
        <v>2</v>
      </c>
      <c r="D69" t="s">
        <v>194</v>
      </c>
      <c r="E69">
        <v>4.2935999999999996</v>
      </c>
      <c r="F69">
        <v>1</v>
      </c>
      <c r="G69">
        <v>5</v>
      </c>
      <c r="H69">
        <v>5</v>
      </c>
      <c r="I69">
        <v>0</v>
      </c>
      <c r="J69">
        <v>5</v>
      </c>
      <c r="K69">
        <v>428</v>
      </c>
      <c r="L69">
        <v>0</v>
      </c>
    </row>
    <row r="70" spans="1:12" x14ac:dyDescent="0.3">
      <c r="A70" t="s">
        <v>261</v>
      </c>
      <c r="B70">
        <v>3</v>
      </c>
      <c r="C70">
        <v>2</v>
      </c>
      <c r="D70" t="s">
        <v>194</v>
      </c>
      <c r="E70">
        <v>5.35</v>
      </c>
      <c r="F70">
        <v>1</v>
      </c>
      <c r="G70">
        <v>5</v>
      </c>
      <c r="H70">
        <v>5</v>
      </c>
      <c r="I70">
        <v>0</v>
      </c>
      <c r="J70">
        <v>5</v>
      </c>
      <c r="K70">
        <v>428</v>
      </c>
      <c r="L70">
        <v>0</v>
      </c>
    </row>
    <row r="71" spans="1:12" x14ac:dyDescent="0.3">
      <c r="A71" t="s">
        <v>262</v>
      </c>
      <c r="B71">
        <v>3</v>
      </c>
      <c r="C71">
        <v>2</v>
      </c>
      <c r="D71" t="s">
        <v>194</v>
      </c>
      <c r="E71">
        <v>5.9950000000000001</v>
      </c>
      <c r="F71">
        <v>1</v>
      </c>
      <c r="G71">
        <v>5</v>
      </c>
      <c r="H71">
        <v>5</v>
      </c>
      <c r="I71">
        <v>0</v>
      </c>
      <c r="J71">
        <v>9</v>
      </c>
      <c r="K71">
        <v>429</v>
      </c>
      <c r="L71">
        <v>0</v>
      </c>
    </row>
    <row r="72" spans="1:12" x14ac:dyDescent="0.3">
      <c r="A72" t="s">
        <v>263</v>
      </c>
      <c r="B72">
        <v>3</v>
      </c>
      <c r="C72">
        <v>2</v>
      </c>
      <c r="D72" t="s">
        <v>194</v>
      </c>
      <c r="E72">
        <v>4.2935999999999996</v>
      </c>
      <c r="F72">
        <v>1</v>
      </c>
      <c r="G72">
        <v>5</v>
      </c>
      <c r="H72">
        <v>5</v>
      </c>
      <c r="I72">
        <v>0</v>
      </c>
      <c r="J72">
        <v>5</v>
      </c>
      <c r="K72">
        <v>428</v>
      </c>
      <c r="L72">
        <v>0</v>
      </c>
    </row>
    <row r="73" spans="1:12" x14ac:dyDescent="0.3">
      <c r="A73" t="s">
        <v>264</v>
      </c>
      <c r="B73">
        <v>3</v>
      </c>
      <c r="C73">
        <v>2</v>
      </c>
      <c r="D73" t="s">
        <v>194</v>
      </c>
      <c r="E73">
        <v>5.9950000000000001</v>
      </c>
      <c r="F73">
        <v>1</v>
      </c>
      <c r="G73">
        <v>5</v>
      </c>
      <c r="H73">
        <v>5</v>
      </c>
      <c r="I73">
        <v>0</v>
      </c>
      <c r="J73">
        <v>9</v>
      </c>
      <c r="K73">
        <v>429</v>
      </c>
      <c r="L73">
        <v>0</v>
      </c>
    </row>
    <row r="74" spans="1:12" x14ac:dyDescent="0.3">
      <c r="A74" t="s">
        <v>265</v>
      </c>
      <c r="B74">
        <v>3</v>
      </c>
      <c r="C74">
        <v>2</v>
      </c>
      <c r="D74" t="s">
        <v>194</v>
      </c>
      <c r="E74">
        <v>4.2935999999999996</v>
      </c>
      <c r="F74">
        <v>1</v>
      </c>
      <c r="G74">
        <v>5</v>
      </c>
      <c r="H74">
        <v>5</v>
      </c>
      <c r="I74">
        <v>0</v>
      </c>
      <c r="J74">
        <v>5</v>
      </c>
      <c r="K74">
        <v>428</v>
      </c>
      <c r="L74">
        <v>0</v>
      </c>
    </row>
    <row r="75" spans="1:12" x14ac:dyDescent="0.3">
      <c r="A75" t="s">
        <v>266</v>
      </c>
      <c r="B75">
        <v>3</v>
      </c>
      <c r="C75">
        <v>2</v>
      </c>
      <c r="D75" t="s">
        <v>194</v>
      </c>
      <c r="E75">
        <v>4.2935999999999996</v>
      </c>
      <c r="F75">
        <v>1</v>
      </c>
      <c r="G75">
        <v>5</v>
      </c>
      <c r="H75">
        <v>5</v>
      </c>
      <c r="I75">
        <v>0</v>
      </c>
      <c r="J75">
        <v>5</v>
      </c>
      <c r="K75">
        <v>428</v>
      </c>
      <c r="L75">
        <v>0</v>
      </c>
    </row>
    <row r="76" spans="1:12" x14ac:dyDescent="0.3">
      <c r="A76" t="s">
        <v>267</v>
      </c>
      <c r="B76">
        <v>3</v>
      </c>
      <c r="C76">
        <v>2</v>
      </c>
      <c r="D76" t="s">
        <v>194</v>
      </c>
      <c r="E76">
        <v>4.2935999999999996</v>
      </c>
      <c r="F76">
        <v>1</v>
      </c>
      <c r="G76">
        <v>5</v>
      </c>
      <c r="H76">
        <v>5</v>
      </c>
      <c r="I76">
        <v>0</v>
      </c>
      <c r="J76">
        <v>5</v>
      </c>
      <c r="K76">
        <v>428</v>
      </c>
      <c r="L76">
        <v>0</v>
      </c>
    </row>
    <row r="77" spans="1:12" x14ac:dyDescent="0.3">
      <c r="A77" t="s">
        <v>268</v>
      </c>
      <c r="B77">
        <v>3</v>
      </c>
      <c r="C77">
        <v>2</v>
      </c>
      <c r="D77" t="s">
        <v>194</v>
      </c>
      <c r="E77">
        <v>2.7069999999999999</v>
      </c>
      <c r="F77">
        <v>1</v>
      </c>
      <c r="G77">
        <v>5</v>
      </c>
      <c r="H77">
        <v>5</v>
      </c>
      <c r="I77">
        <v>0</v>
      </c>
      <c r="J77">
        <v>6</v>
      </c>
      <c r="K77">
        <v>428</v>
      </c>
      <c r="L77">
        <v>0</v>
      </c>
    </row>
    <row r="78" spans="1:12" x14ac:dyDescent="0.3">
      <c r="A78" t="s">
        <v>269</v>
      </c>
      <c r="B78">
        <v>3</v>
      </c>
      <c r="C78">
        <v>2</v>
      </c>
      <c r="D78" t="s">
        <v>194</v>
      </c>
      <c r="E78">
        <v>2.7069999999999999</v>
      </c>
      <c r="F78">
        <v>1</v>
      </c>
      <c r="G78">
        <v>5</v>
      </c>
      <c r="H78">
        <v>5</v>
      </c>
      <c r="I78">
        <v>0</v>
      </c>
      <c r="J78">
        <v>6</v>
      </c>
      <c r="K78">
        <v>428</v>
      </c>
      <c r="L78">
        <v>0</v>
      </c>
    </row>
    <row r="79" spans="1:12" x14ac:dyDescent="0.3">
      <c r="A79" t="s">
        <v>270</v>
      </c>
      <c r="B79">
        <v>3</v>
      </c>
      <c r="C79">
        <v>2</v>
      </c>
      <c r="D79" t="s">
        <v>194</v>
      </c>
      <c r="E79">
        <v>4.2935999999999996</v>
      </c>
      <c r="F79">
        <v>1</v>
      </c>
      <c r="G79">
        <v>5</v>
      </c>
      <c r="H79">
        <v>5</v>
      </c>
      <c r="I79">
        <v>0</v>
      </c>
      <c r="J79">
        <v>5</v>
      </c>
      <c r="K79">
        <v>428</v>
      </c>
      <c r="L79">
        <v>0</v>
      </c>
    </row>
    <row r="80" spans="1:12" x14ac:dyDescent="0.3">
      <c r="A80" t="s">
        <v>271</v>
      </c>
      <c r="B80">
        <v>3</v>
      </c>
      <c r="C80">
        <v>2</v>
      </c>
      <c r="D80" t="s">
        <v>194</v>
      </c>
      <c r="E80">
        <v>5.9950000000000001</v>
      </c>
      <c r="F80">
        <v>1</v>
      </c>
      <c r="G80">
        <v>5</v>
      </c>
      <c r="H80">
        <v>5</v>
      </c>
      <c r="I80">
        <v>0</v>
      </c>
      <c r="J80">
        <v>9</v>
      </c>
      <c r="K80">
        <v>429</v>
      </c>
      <c r="L80">
        <v>0</v>
      </c>
    </row>
    <row r="81" spans="1:12" x14ac:dyDescent="0.3">
      <c r="A81" t="s">
        <v>272</v>
      </c>
      <c r="B81">
        <v>3</v>
      </c>
      <c r="C81">
        <v>2</v>
      </c>
      <c r="D81" t="s">
        <v>194</v>
      </c>
      <c r="E81">
        <v>4.2935999999999996</v>
      </c>
      <c r="F81">
        <v>1</v>
      </c>
      <c r="G81">
        <v>5</v>
      </c>
      <c r="H81">
        <v>5</v>
      </c>
      <c r="I81">
        <v>0</v>
      </c>
      <c r="J81">
        <v>5</v>
      </c>
      <c r="K81">
        <v>428</v>
      </c>
      <c r="L81">
        <v>0</v>
      </c>
    </row>
    <row r="82" spans="1:12" x14ac:dyDescent="0.3">
      <c r="A82" t="s">
        <v>273</v>
      </c>
      <c r="B82">
        <v>3</v>
      </c>
      <c r="C82">
        <v>2</v>
      </c>
      <c r="D82" t="s">
        <v>194</v>
      </c>
      <c r="E82">
        <v>4.2935999999999996</v>
      </c>
      <c r="F82">
        <v>1</v>
      </c>
      <c r="G82">
        <v>5</v>
      </c>
      <c r="H82">
        <v>5</v>
      </c>
      <c r="I82">
        <v>0</v>
      </c>
      <c r="J82">
        <v>5</v>
      </c>
      <c r="K82">
        <v>428</v>
      </c>
      <c r="L82">
        <v>0</v>
      </c>
    </row>
    <row r="83" spans="1:12" x14ac:dyDescent="0.3">
      <c r="A83" t="s">
        <v>274</v>
      </c>
      <c r="B83">
        <v>3</v>
      </c>
      <c r="C83">
        <v>2</v>
      </c>
      <c r="D83" t="s">
        <v>194</v>
      </c>
      <c r="E83">
        <v>5.9950000000000001</v>
      </c>
      <c r="F83">
        <v>1</v>
      </c>
      <c r="G83">
        <v>5</v>
      </c>
      <c r="H83">
        <v>5</v>
      </c>
      <c r="I83">
        <v>0</v>
      </c>
      <c r="J83">
        <v>9</v>
      </c>
      <c r="K83">
        <v>429</v>
      </c>
      <c r="L83">
        <v>0</v>
      </c>
    </row>
    <row r="84" spans="1:12" x14ac:dyDescent="0.3">
      <c r="A84" t="s">
        <v>275</v>
      </c>
      <c r="B84">
        <v>3</v>
      </c>
      <c r="C84">
        <v>2</v>
      </c>
      <c r="D84" t="s">
        <v>194</v>
      </c>
      <c r="E84">
        <v>4.2935999999999996</v>
      </c>
      <c r="F84">
        <v>1</v>
      </c>
      <c r="G84">
        <v>5</v>
      </c>
      <c r="H84">
        <v>5</v>
      </c>
      <c r="I84">
        <v>0</v>
      </c>
      <c r="J84">
        <v>5</v>
      </c>
      <c r="K84">
        <v>428</v>
      </c>
      <c r="L84">
        <v>0</v>
      </c>
    </row>
    <row r="85" spans="1:12" x14ac:dyDescent="0.3">
      <c r="A85" t="s">
        <v>276</v>
      </c>
      <c r="B85">
        <v>3</v>
      </c>
      <c r="C85">
        <v>2</v>
      </c>
      <c r="D85" t="s">
        <v>194</v>
      </c>
      <c r="E85">
        <v>3.85</v>
      </c>
      <c r="F85">
        <v>1</v>
      </c>
      <c r="G85">
        <v>5</v>
      </c>
      <c r="H85">
        <v>5</v>
      </c>
      <c r="I85">
        <v>0</v>
      </c>
      <c r="J85">
        <v>5</v>
      </c>
      <c r="K85">
        <v>679</v>
      </c>
      <c r="L85">
        <v>0</v>
      </c>
    </row>
    <row r="86" spans="1:12" x14ac:dyDescent="0.3">
      <c r="A86" t="s">
        <v>277</v>
      </c>
      <c r="B86">
        <v>3</v>
      </c>
      <c r="C86">
        <v>2</v>
      </c>
      <c r="D86" t="s">
        <v>194</v>
      </c>
      <c r="E86">
        <v>5.9950000000000001</v>
      </c>
      <c r="F86">
        <v>1</v>
      </c>
      <c r="G86">
        <v>5</v>
      </c>
      <c r="H86">
        <v>5</v>
      </c>
      <c r="I86">
        <v>0</v>
      </c>
      <c r="J86">
        <v>9</v>
      </c>
      <c r="K86">
        <v>429</v>
      </c>
      <c r="L86">
        <v>0</v>
      </c>
    </row>
    <row r="87" spans="1:12" x14ac:dyDescent="0.3">
      <c r="A87" t="s">
        <v>278</v>
      </c>
      <c r="B87">
        <v>3</v>
      </c>
      <c r="C87">
        <v>2</v>
      </c>
      <c r="D87" t="s">
        <v>194</v>
      </c>
      <c r="E87">
        <v>4.2935999999999996</v>
      </c>
      <c r="F87">
        <v>1</v>
      </c>
      <c r="G87">
        <v>5</v>
      </c>
      <c r="H87">
        <v>5</v>
      </c>
      <c r="I87">
        <v>0</v>
      </c>
      <c r="J87">
        <v>5</v>
      </c>
      <c r="K87">
        <v>428</v>
      </c>
      <c r="L87">
        <v>0</v>
      </c>
    </row>
    <row r="88" spans="1:12" x14ac:dyDescent="0.3">
      <c r="A88" t="s">
        <v>279</v>
      </c>
      <c r="B88">
        <v>3</v>
      </c>
      <c r="C88">
        <v>2</v>
      </c>
      <c r="D88" t="s">
        <v>194</v>
      </c>
      <c r="E88">
        <v>4.2935999999999996</v>
      </c>
      <c r="F88">
        <v>1</v>
      </c>
      <c r="G88">
        <v>5</v>
      </c>
      <c r="H88">
        <v>5</v>
      </c>
      <c r="I88">
        <v>0</v>
      </c>
      <c r="J88">
        <v>5</v>
      </c>
      <c r="K88">
        <v>428</v>
      </c>
      <c r="L88">
        <v>0</v>
      </c>
    </row>
    <row r="89" spans="1:12" x14ac:dyDescent="0.3">
      <c r="A89" t="s">
        <v>280</v>
      </c>
      <c r="B89">
        <v>3</v>
      </c>
      <c r="C89">
        <v>2</v>
      </c>
      <c r="D89" t="s">
        <v>194</v>
      </c>
      <c r="E89">
        <v>4.2935999999999996</v>
      </c>
      <c r="F89">
        <v>1</v>
      </c>
      <c r="G89">
        <v>5</v>
      </c>
      <c r="H89">
        <v>5</v>
      </c>
      <c r="I89">
        <v>0</v>
      </c>
      <c r="J89">
        <v>5</v>
      </c>
      <c r="K89">
        <v>428</v>
      </c>
      <c r="L89">
        <v>0</v>
      </c>
    </row>
    <row r="90" spans="1:12" x14ac:dyDescent="0.3">
      <c r="A90" t="s">
        <v>281</v>
      </c>
      <c r="B90">
        <v>3</v>
      </c>
      <c r="C90">
        <v>2</v>
      </c>
      <c r="D90" t="s">
        <v>194</v>
      </c>
      <c r="E90">
        <v>4.2935999999999996</v>
      </c>
      <c r="F90">
        <v>1</v>
      </c>
      <c r="G90">
        <v>5</v>
      </c>
      <c r="H90">
        <v>5</v>
      </c>
      <c r="I90">
        <v>0</v>
      </c>
      <c r="J90">
        <v>5</v>
      </c>
      <c r="K90">
        <v>428</v>
      </c>
      <c r="L90">
        <v>0</v>
      </c>
    </row>
    <row r="91" spans="1:12" x14ac:dyDescent="0.3">
      <c r="A91" t="s">
        <v>282</v>
      </c>
      <c r="B91">
        <v>3</v>
      </c>
      <c r="C91">
        <v>2</v>
      </c>
      <c r="D91" t="s">
        <v>194</v>
      </c>
      <c r="E91">
        <v>4.2935999999999996</v>
      </c>
      <c r="F91">
        <v>1</v>
      </c>
      <c r="G91">
        <v>5</v>
      </c>
      <c r="H91">
        <v>5</v>
      </c>
      <c r="I91">
        <v>0</v>
      </c>
      <c r="J91">
        <v>5</v>
      </c>
      <c r="K91">
        <v>428</v>
      </c>
      <c r="L91">
        <v>0</v>
      </c>
    </row>
    <row r="92" spans="1:12" x14ac:dyDescent="0.3">
      <c r="A92" t="s">
        <v>283</v>
      </c>
      <c r="B92">
        <v>3</v>
      </c>
      <c r="C92">
        <v>2</v>
      </c>
      <c r="D92" t="s">
        <v>194</v>
      </c>
      <c r="E92">
        <v>4.2935999999999996</v>
      </c>
      <c r="F92">
        <v>1</v>
      </c>
      <c r="G92">
        <v>5</v>
      </c>
      <c r="H92">
        <v>5</v>
      </c>
      <c r="I92">
        <v>0</v>
      </c>
      <c r="J92">
        <v>5</v>
      </c>
      <c r="K92">
        <v>428</v>
      </c>
      <c r="L92">
        <v>0</v>
      </c>
    </row>
    <row r="93" spans="1:12" x14ac:dyDescent="0.3">
      <c r="A93" t="s">
        <v>284</v>
      </c>
      <c r="B93">
        <v>3</v>
      </c>
      <c r="C93">
        <v>2</v>
      </c>
      <c r="D93" t="s">
        <v>194</v>
      </c>
      <c r="E93">
        <v>4.2935999999999996</v>
      </c>
      <c r="F93">
        <v>1</v>
      </c>
      <c r="G93">
        <v>5</v>
      </c>
      <c r="H93">
        <v>5</v>
      </c>
      <c r="I93">
        <v>0</v>
      </c>
      <c r="J93">
        <v>5</v>
      </c>
      <c r="K93">
        <v>428</v>
      </c>
      <c r="L93">
        <v>0</v>
      </c>
    </row>
    <row r="94" spans="1:12" x14ac:dyDescent="0.3">
      <c r="A94" t="s">
        <v>285</v>
      </c>
      <c r="B94">
        <v>3</v>
      </c>
      <c r="C94">
        <v>2</v>
      </c>
      <c r="D94" t="s">
        <v>194</v>
      </c>
      <c r="E94">
        <v>4.2935999999999996</v>
      </c>
      <c r="F94">
        <v>1</v>
      </c>
      <c r="G94">
        <v>5</v>
      </c>
      <c r="H94">
        <v>5</v>
      </c>
      <c r="I94">
        <v>0</v>
      </c>
      <c r="J94">
        <v>5</v>
      </c>
      <c r="K94">
        <v>428</v>
      </c>
      <c r="L94">
        <v>0</v>
      </c>
    </row>
    <row r="95" spans="1:12" x14ac:dyDescent="0.3">
      <c r="A95" t="s">
        <v>286</v>
      </c>
      <c r="B95">
        <v>4</v>
      </c>
      <c r="C95">
        <v>2</v>
      </c>
      <c r="D95" t="s">
        <v>194</v>
      </c>
      <c r="E95">
        <v>3.2869999999999999</v>
      </c>
      <c r="F95">
        <v>1</v>
      </c>
      <c r="G95">
        <v>5</v>
      </c>
      <c r="H95">
        <v>5</v>
      </c>
      <c r="I95">
        <v>0</v>
      </c>
      <c r="J95">
        <v>4</v>
      </c>
      <c r="K95">
        <v>689</v>
      </c>
      <c r="L95">
        <v>0</v>
      </c>
    </row>
    <row r="96" spans="1:12" x14ac:dyDescent="0.3">
      <c r="A96" t="s">
        <v>287</v>
      </c>
      <c r="B96">
        <v>3</v>
      </c>
      <c r="C96">
        <v>2</v>
      </c>
      <c r="D96" t="s">
        <v>194</v>
      </c>
      <c r="E96">
        <v>5.351</v>
      </c>
      <c r="F96">
        <v>1</v>
      </c>
      <c r="G96">
        <v>5</v>
      </c>
      <c r="H96">
        <v>5</v>
      </c>
      <c r="I96">
        <v>0</v>
      </c>
      <c r="J96">
        <v>5</v>
      </c>
      <c r="K96">
        <v>428</v>
      </c>
      <c r="L96">
        <v>0</v>
      </c>
    </row>
    <row r="97" spans="1:12" x14ac:dyDescent="0.3">
      <c r="A97" t="s">
        <v>288</v>
      </c>
      <c r="B97">
        <v>3</v>
      </c>
      <c r="C97">
        <v>2</v>
      </c>
      <c r="D97" t="s">
        <v>194</v>
      </c>
      <c r="E97">
        <v>4.2935999999999996</v>
      </c>
      <c r="F97">
        <v>1</v>
      </c>
      <c r="G97">
        <v>5</v>
      </c>
      <c r="H97">
        <v>5</v>
      </c>
      <c r="I97">
        <v>0</v>
      </c>
      <c r="J97">
        <v>5</v>
      </c>
      <c r="K97">
        <v>428</v>
      </c>
      <c r="L97">
        <v>0</v>
      </c>
    </row>
    <row r="98" spans="1:12" x14ac:dyDescent="0.3">
      <c r="A98" t="s">
        <v>289</v>
      </c>
      <c r="B98">
        <v>3</v>
      </c>
      <c r="C98">
        <v>2</v>
      </c>
      <c r="D98" t="s">
        <v>194</v>
      </c>
      <c r="E98">
        <v>4.2935999999999996</v>
      </c>
      <c r="F98">
        <v>1</v>
      </c>
      <c r="G98">
        <v>5</v>
      </c>
      <c r="H98">
        <v>5</v>
      </c>
      <c r="I98">
        <v>0</v>
      </c>
      <c r="J98">
        <v>5</v>
      </c>
      <c r="K98">
        <v>428</v>
      </c>
      <c r="L98">
        <v>0</v>
      </c>
    </row>
    <row r="99" spans="1:12" x14ac:dyDescent="0.3">
      <c r="A99" t="s">
        <v>290</v>
      </c>
      <c r="B99">
        <v>3</v>
      </c>
      <c r="C99">
        <v>2</v>
      </c>
      <c r="D99" t="s">
        <v>194</v>
      </c>
      <c r="E99">
        <v>4.2935999999999996</v>
      </c>
      <c r="F99">
        <v>1</v>
      </c>
      <c r="G99">
        <v>5</v>
      </c>
      <c r="H99">
        <v>5</v>
      </c>
      <c r="I99">
        <v>0</v>
      </c>
      <c r="J99">
        <v>5</v>
      </c>
      <c r="K99">
        <v>428</v>
      </c>
      <c r="L99">
        <v>0</v>
      </c>
    </row>
    <row r="100" spans="1:12" x14ac:dyDescent="0.3">
      <c r="A100" t="s">
        <v>291</v>
      </c>
      <c r="B100">
        <v>3</v>
      </c>
      <c r="C100">
        <v>2</v>
      </c>
      <c r="D100" t="s">
        <v>194</v>
      </c>
      <c r="E100">
        <v>4.2935999999999996</v>
      </c>
      <c r="F100">
        <v>1</v>
      </c>
      <c r="G100">
        <v>5</v>
      </c>
      <c r="H100">
        <v>5</v>
      </c>
      <c r="I100">
        <v>0</v>
      </c>
      <c r="J100">
        <v>5</v>
      </c>
      <c r="K100">
        <v>428</v>
      </c>
      <c r="L100">
        <v>0</v>
      </c>
    </row>
    <row r="101" spans="1:12" x14ac:dyDescent="0.3">
      <c r="A101" t="s">
        <v>292</v>
      </c>
      <c r="B101">
        <v>3</v>
      </c>
      <c r="C101">
        <v>2</v>
      </c>
      <c r="D101" t="s">
        <v>194</v>
      </c>
      <c r="E101">
        <v>4.2935999999999996</v>
      </c>
      <c r="F101">
        <v>1</v>
      </c>
      <c r="G101">
        <v>5</v>
      </c>
      <c r="H101">
        <v>5</v>
      </c>
      <c r="I101">
        <v>0</v>
      </c>
      <c r="J101">
        <v>5</v>
      </c>
      <c r="K101">
        <v>428</v>
      </c>
      <c r="L101">
        <v>0</v>
      </c>
    </row>
    <row r="102" spans="1:12" x14ac:dyDescent="0.3">
      <c r="A102" t="s">
        <v>293</v>
      </c>
      <c r="B102">
        <v>3</v>
      </c>
      <c r="C102">
        <v>2</v>
      </c>
      <c r="D102" t="s">
        <v>194</v>
      </c>
      <c r="E102">
        <v>4.2935999999999996</v>
      </c>
      <c r="F102">
        <v>1</v>
      </c>
      <c r="G102">
        <v>5</v>
      </c>
      <c r="H102">
        <v>5</v>
      </c>
      <c r="I102">
        <v>0</v>
      </c>
      <c r="J102">
        <v>5</v>
      </c>
      <c r="K102">
        <v>428</v>
      </c>
      <c r="L102">
        <v>0</v>
      </c>
    </row>
    <row r="103" spans="1:12" x14ac:dyDescent="0.3">
      <c r="A103" t="s">
        <v>294</v>
      </c>
      <c r="B103">
        <v>3</v>
      </c>
      <c r="C103">
        <v>2</v>
      </c>
      <c r="D103" t="s">
        <v>194</v>
      </c>
      <c r="E103">
        <v>4.2935999999999996</v>
      </c>
      <c r="F103">
        <v>1</v>
      </c>
      <c r="G103">
        <v>5</v>
      </c>
      <c r="H103">
        <v>5</v>
      </c>
      <c r="I103">
        <v>0</v>
      </c>
      <c r="J103">
        <v>5</v>
      </c>
      <c r="K103">
        <v>428</v>
      </c>
      <c r="L103">
        <v>0</v>
      </c>
    </row>
    <row r="104" spans="1:12" x14ac:dyDescent="0.3">
      <c r="A104" t="s">
        <v>295</v>
      </c>
      <c r="B104">
        <v>3</v>
      </c>
      <c r="C104">
        <v>2</v>
      </c>
      <c r="D104" t="s">
        <v>194</v>
      </c>
      <c r="E104">
        <v>4.2935999999999996</v>
      </c>
      <c r="F104">
        <v>1</v>
      </c>
      <c r="G104">
        <v>5</v>
      </c>
      <c r="H104">
        <v>5</v>
      </c>
      <c r="I104">
        <v>0</v>
      </c>
      <c r="J104">
        <v>5</v>
      </c>
      <c r="K104">
        <v>428</v>
      </c>
      <c r="L104">
        <v>0</v>
      </c>
    </row>
    <row r="105" spans="1:12" x14ac:dyDescent="0.3">
      <c r="A105" t="s">
        <v>296</v>
      </c>
      <c r="B105">
        <v>3</v>
      </c>
      <c r="C105">
        <v>2</v>
      </c>
      <c r="D105" t="s">
        <v>194</v>
      </c>
      <c r="E105">
        <v>5.3518999999999997</v>
      </c>
      <c r="F105">
        <v>1</v>
      </c>
      <c r="G105">
        <v>5</v>
      </c>
      <c r="H105">
        <v>5</v>
      </c>
      <c r="I105">
        <v>0</v>
      </c>
      <c r="J105">
        <v>5</v>
      </c>
      <c r="K105">
        <v>428</v>
      </c>
      <c r="L105">
        <v>0</v>
      </c>
    </row>
    <row r="106" spans="1:12" x14ac:dyDescent="0.3">
      <c r="A106" t="s">
        <v>297</v>
      </c>
      <c r="B106">
        <v>3</v>
      </c>
      <c r="C106">
        <v>2</v>
      </c>
      <c r="D106" t="s">
        <v>194</v>
      </c>
      <c r="E106">
        <v>4.2935999999999996</v>
      </c>
      <c r="F106">
        <v>1</v>
      </c>
      <c r="G106">
        <v>5</v>
      </c>
      <c r="H106">
        <v>5</v>
      </c>
      <c r="I106">
        <v>0</v>
      </c>
      <c r="J106">
        <v>5</v>
      </c>
      <c r="K106">
        <v>428</v>
      </c>
      <c r="L106">
        <v>0</v>
      </c>
    </row>
    <row r="107" spans="1:12" x14ac:dyDescent="0.3">
      <c r="A107" t="s">
        <v>298</v>
      </c>
      <c r="B107">
        <v>3</v>
      </c>
      <c r="C107">
        <v>2</v>
      </c>
      <c r="D107" t="s">
        <v>194</v>
      </c>
      <c r="E107">
        <v>4.2935999999999996</v>
      </c>
      <c r="F107">
        <v>1</v>
      </c>
      <c r="G107">
        <v>5</v>
      </c>
      <c r="H107">
        <v>5</v>
      </c>
      <c r="I107">
        <v>0</v>
      </c>
      <c r="J107">
        <v>5</v>
      </c>
      <c r="K107">
        <v>428</v>
      </c>
      <c r="L107">
        <v>0</v>
      </c>
    </row>
    <row r="108" spans="1:12" x14ac:dyDescent="0.3">
      <c r="A108" t="s">
        <v>299</v>
      </c>
      <c r="B108">
        <v>3</v>
      </c>
      <c r="C108">
        <v>2</v>
      </c>
      <c r="D108" t="s">
        <v>194</v>
      </c>
      <c r="E108">
        <v>4.2935999999999996</v>
      </c>
      <c r="F108">
        <v>1</v>
      </c>
      <c r="G108">
        <v>5</v>
      </c>
      <c r="H108">
        <v>5</v>
      </c>
      <c r="I108">
        <v>0</v>
      </c>
      <c r="J108">
        <v>5</v>
      </c>
      <c r="K108">
        <v>428</v>
      </c>
      <c r="L108">
        <v>0</v>
      </c>
    </row>
    <row r="109" spans="1:12" x14ac:dyDescent="0.3">
      <c r="A109" t="s">
        <v>300</v>
      </c>
      <c r="B109">
        <v>3</v>
      </c>
      <c r="C109">
        <v>2</v>
      </c>
      <c r="D109" t="s">
        <v>194</v>
      </c>
      <c r="E109">
        <v>2.7069999999999999</v>
      </c>
      <c r="F109">
        <v>1</v>
      </c>
      <c r="G109">
        <v>5</v>
      </c>
      <c r="H109">
        <v>5</v>
      </c>
      <c r="I109">
        <v>0</v>
      </c>
      <c r="J109">
        <v>6</v>
      </c>
      <c r="K109">
        <v>428</v>
      </c>
      <c r="L109">
        <v>0</v>
      </c>
    </row>
    <row r="110" spans="1:12" x14ac:dyDescent="0.3">
      <c r="A110" t="s">
        <v>301</v>
      </c>
      <c r="B110">
        <v>3</v>
      </c>
      <c r="C110">
        <v>2</v>
      </c>
      <c r="D110" t="s">
        <v>194</v>
      </c>
      <c r="E110">
        <v>4.4839000000000002</v>
      </c>
      <c r="F110">
        <v>1</v>
      </c>
      <c r="G110">
        <v>5</v>
      </c>
      <c r="H110">
        <v>5</v>
      </c>
      <c r="I110">
        <v>0</v>
      </c>
      <c r="J110">
        <v>5</v>
      </c>
      <c r="K110">
        <v>428</v>
      </c>
      <c r="L110">
        <v>0</v>
      </c>
    </row>
    <row r="111" spans="1:12" x14ac:dyDescent="0.3">
      <c r="A111" t="s">
        <v>302</v>
      </c>
      <c r="B111">
        <v>3</v>
      </c>
      <c r="C111">
        <v>2</v>
      </c>
      <c r="D111" t="s">
        <v>194</v>
      </c>
      <c r="E111">
        <v>5.9950000000000001</v>
      </c>
      <c r="F111">
        <v>1</v>
      </c>
      <c r="G111">
        <v>5</v>
      </c>
      <c r="H111">
        <v>5</v>
      </c>
      <c r="I111">
        <v>0</v>
      </c>
      <c r="J111">
        <v>9</v>
      </c>
      <c r="K111">
        <v>429</v>
      </c>
      <c r="L111">
        <v>0</v>
      </c>
    </row>
    <row r="112" spans="1:12" x14ac:dyDescent="0.3">
      <c r="A112" t="s">
        <v>303</v>
      </c>
      <c r="B112">
        <v>3</v>
      </c>
      <c r="C112">
        <v>2</v>
      </c>
      <c r="D112" t="s">
        <v>194</v>
      </c>
      <c r="E112">
        <v>5.9950000000000001</v>
      </c>
      <c r="F112">
        <v>1</v>
      </c>
      <c r="G112">
        <v>5</v>
      </c>
      <c r="H112">
        <v>5</v>
      </c>
      <c r="I112">
        <v>0</v>
      </c>
      <c r="J112">
        <v>9</v>
      </c>
      <c r="K112">
        <v>429</v>
      </c>
      <c r="L112">
        <v>0</v>
      </c>
    </row>
    <row r="113" spans="1:12" x14ac:dyDescent="0.3">
      <c r="A113" t="s">
        <v>304</v>
      </c>
      <c r="B113">
        <v>3</v>
      </c>
      <c r="C113">
        <v>2</v>
      </c>
      <c r="D113" t="s">
        <v>194</v>
      </c>
      <c r="E113">
        <v>4.4839000000000002</v>
      </c>
      <c r="F113">
        <v>1</v>
      </c>
      <c r="G113">
        <v>5</v>
      </c>
      <c r="H113">
        <v>5</v>
      </c>
      <c r="I113">
        <v>0</v>
      </c>
      <c r="J113">
        <v>5</v>
      </c>
      <c r="K113">
        <v>428</v>
      </c>
      <c r="L113">
        <v>0</v>
      </c>
    </row>
    <row r="114" spans="1:12" x14ac:dyDescent="0.3">
      <c r="A114" t="s">
        <v>305</v>
      </c>
      <c r="B114">
        <v>3</v>
      </c>
      <c r="C114">
        <v>2</v>
      </c>
      <c r="D114" t="s">
        <v>194</v>
      </c>
      <c r="E114">
        <v>7.4882999999999997</v>
      </c>
      <c r="F114">
        <v>1</v>
      </c>
      <c r="G114">
        <v>5</v>
      </c>
      <c r="H114">
        <v>5</v>
      </c>
      <c r="I114">
        <v>0</v>
      </c>
      <c r="J114">
        <v>9</v>
      </c>
      <c r="K114">
        <v>679</v>
      </c>
      <c r="L114">
        <v>0</v>
      </c>
    </row>
    <row r="115" spans="1:12" x14ac:dyDescent="0.3">
      <c r="A115" t="s">
        <v>306</v>
      </c>
      <c r="B115">
        <v>4</v>
      </c>
      <c r="C115">
        <v>2</v>
      </c>
      <c r="D115" t="s">
        <v>194</v>
      </c>
      <c r="E115">
        <v>5.6577999999999999</v>
      </c>
      <c r="F115">
        <v>1</v>
      </c>
      <c r="G115">
        <v>5</v>
      </c>
      <c r="H115">
        <v>5</v>
      </c>
      <c r="I115">
        <v>0</v>
      </c>
      <c r="J115">
        <v>2</v>
      </c>
      <c r="K115">
        <v>681</v>
      </c>
      <c r="L115">
        <v>0</v>
      </c>
    </row>
    <row r="116" spans="1:12" x14ac:dyDescent="0.3">
      <c r="A116" t="s">
        <v>307</v>
      </c>
      <c r="B116">
        <v>4</v>
      </c>
      <c r="C116">
        <v>2</v>
      </c>
      <c r="D116" t="s">
        <v>194</v>
      </c>
      <c r="E116">
        <v>5.66</v>
      </c>
      <c r="F116">
        <v>1</v>
      </c>
      <c r="G116">
        <v>5</v>
      </c>
      <c r="H116">
        <v>5</v>
      </c>
      <c r="I116">
        <v>0</v>
      </c>
      <c r="J116">
        <v>2</v>
      </c>
      <c r="K116">
        <v>681</v>
      </c>
      <c r="L116">
        <v>0</v>
      </c>
    </row>
    <row r="117" spans="1:12" x14ac:dyDescent="0.3">
      <c r="A117" t="s">
        <v>308</v>
      </c>
      <c r="B117">
        <v>4</v>
      </c>
      <c r="C117">
        <v>2</v>
      </c>
      <c r="D117" t="s">
        <v>194</v>
      </c>
      <c r="E117">
        <v>5.6577999999999999</v>
      </c>
      <c r="F117">
        <v>1</v>
      </c>
      <c r="G117">
        <v>5</v>
      </c>
      <c r="H117">
        <v>5</v>
      </c>
      <c r="I117">
        <v>0</v>
      </c>
      <c r="J117">
        <v>4</v>
      </c>
      <c r="K117">
        <v>681</v>
      </c>
      <c r="L117">
        <v>0</v>
      </c>
    </row>
    <row r="118" spans="1:12" x14ac:dyDescent="0.3">
      <c r="A118" t="s">
        <v>309</v>
      </c>
      <c r="B118">
        <v>4</v>
      </c>
      <c r="C118">
        <v>2</v>
      </c>
      <c r="D118" t="s">
        <v>194</v>
      </c>
      <c r="E118">
        <v>5.6577999999999999</v>
      </c>
      <c r="F118">
        <v>1</v>
      </c>
      <c r="G118">
        <v>5</v>
      </c>
      <c r="H118">
        <v>5</v>
      </c>
      <c r="I118">
        <v>0</v>
      </c>
      <c r="J118">
        <v>4</v>
      </c>
      <c r="K118">
        <v>681</v>
      </c>
      <c r="L118">
        <v>0</v>
      </c>
    </row>
    <row r="119" spans="1:12" x14ac:dyDescent="0.3">
      <c r="A119" t="s">
        <v>310</v>
      </c>
      <c r="B119">
        <v>3</v>
      </c>
      <c r="C119">
        <v>2</v>
      </c>
      <c r="D119" t="s">
        <v>194</v>
      </c>
      <c r="E119">
        <v>2.7069999999999999</v>
      </c>
      <c r="F119">
        <v>1</v>
      </c>
      <c r="G119">
        <v>5</v>
      </c>
      <c r="H119">
        <v>5</v>
      </c>
      <c r="I119">
        <v>0</v>
      </c>
      <c r="J119">
        <v>6</v>
      </c>
      <c r="K119">
        <v>428</v>
      </c>
      <c r="L119">
        <v>0</v>
      </c>
    </row>
    <row r="120" spans="1:12" x14ac:dyDescent="0.3">
      <c r="A120" t="s">
        <v>311</v>
      </c>
      <c r="B120">
        <v>4</v>
      </c>
      <c r="C120">
        <v>2</v>
      </c>
      <c r="D120" t="s">
        <v>194</v>
      </c>
      <c r="E120">
        <v>6.23</v>
      </c>
      <c r="F120">
        <v>1</v>
      </c>
      <c r="G120">
        <v>5</v>
      </c>
      <c r="H120">
        <v>5</v>
      </c>
      <c r="I120">
        <v>0</v>
      </c>
      <c r="J120">
        <v>4</v>
      </c>
      <c r="K120">
        <v>681</v>
      </c>
      <c r="L120">
        <v>0</v>
      </c>
    </row>
    <row r="121" spans="1:12" x14ac:dyDescent="0.3">
      <c r="A121" t="s">
        <v>312</v>
      </c>
      <c r="B121">
        <v>4</v>
      </c>
      <c r="C121">
        <v>2</v>
      </c>
      <c r="D121" t="s">
        <v>194</v>
      </c>
      <c r="E121">
        <v>5.6577999999999999</v>
      </c>
      <c r="F121">
        <v>1</v>
      </c>
      <c r="G121">
        <v>5</v>
      </c>
      <c r="H121">
        <v>5</v>
      </c>
      <c r="I121">
        <v>0</v>
      </c>
      <c r="J121">
        <v>4</v>
      </c>
      <c r="K121">
        <v>681</v>
      </c>
      <c r="L121">
        <v>0</v>
      </c>
    </row>
    <row r="122" spans="1:12" x14ac:dyDescent="0.3">
      <c r="A122" t="s">
        <v>313</v>
      </c>
      <c r="B122">
        <v>4</v>
      </c>
      <c r="C122">
        <v>2</v>
      </c>
      <c r="D122" t="s">
        <v>194</v>
      </c>
      <c r="E122">
        <v>5.6577999999999999</v>
      </c>
      <c r="F122">
        <v>1</v>
      </c>
      <c r="G122">
        <v>5</v>
      </c>
      <c r="H122">
        <v>5</v>
      </c>
      <c r="I122">
        <v>0</v>
      </c>
      <c r="J122">
        <v>4</v>
      </c>
      <c r="K122">
        <v>681</v>
      </c>
      <c r="L122">
        <v>0</v>
      </c>
    </row>
    <row r="123" spans="1:12" x14ac:dyDescent="0.3">
      <c r="A123" t="s">
        <v>314</v>
      </c>
      <c r="B123">
        <v>4</v>
      </c>
      <c r="C123">
        <v>2</v>
      </c>
      <c r="D123" t="s">
        <v>194</v>
      </c>
      <c r="E123">
        <v>5.66</v>
      </c>
      <c r="F123">
        <v>1</v>
      </c>
      <c r="G123">
        <v>5</v>
      </c>
      <c r="H123">
        <v>5</v>
      </c>
      <c r="I123">
        <v>0</v>
      </c>
      <c r="J123">
        <v>4</v>
      </c>
      <c r="K123">
        <v>681</v>
      </c>
      <c r="L123">
        <v>0</v>
      </c>
    </row>
    <row r="124" spans="1:12" x14ac:dyDescent="0.3">
      <c r="A124" t="s">
        <v>315</v>
      </c>
      <c r="B124">
        <v>4</v>
      </c>
      <c r="C124">
        <v>2</v>
      </c>
      <c r="D124" t="s">
        <v>194</v>
      </c>
      <c r="E124">
        <v>3.4893000000000001</v>
      </c>
      <c r="F124">
        <v>1</v>
      </c>
      <c r="G124">
        <v>5</v>
      </c>
      <c r="H124">
        <v>5</v>
      </c>
      <c r="I124">
        <v>0</v>
      </c>
      <c r="J124">
        <v>4</v>
      </c>
      <c r="K124">
        <v>681</v>
      </c>
      <c r="L124">
        <v>0</v>
      </c>
    </row>
    <row r="125" spans="1:12" x14ac:dyDescent="0.3">
      <c r="A125" t="s">
        <v>316</v>
      </c>
      <c r="B125">
        <v>3</v>
      </c>
      <c r="C125">
        <v>2</v>
      </c>
      <c r="D125" t="s">
        <v>194</v>
      </c>
      <c r="E125">
        <v>2.7069999999999999</v>
      </c>
      <c r="F125">
        <v>1</v>
      </c>
      <c r="G125">
        <v>5</v>
      </c>
      <c r="H125">
        <v>5</v>
      </c>
      <c r="I125">
        <v>0</v>
      </c>
      <c r="J125">
        <v>6</v>
      </c>
      <c r="K125">
        <v>428</v>
      </c>
      <c r="L125">
        <v>0</v>
      </c>
    </row>
    <row r="126" spans="1:12" x14ac:dyDescent="0.3">
      <c r="A126" t="s">
        <v>317</v>
      </c>
      <c r="B126">
        <v>3</v>
      </c>
      <c r="C126">
        <v>2</v>
      </c>
      <c r="D126" t="s">
        <v>194</v>
      </c>
      <c r="E126">
        <v>4.4100039999999998</v>
      </c>
      <c r="F126">
        <v>0.15873000000000001</v>
      </c>
      <c r="G126">
        <v>9</v>
      </c>
      <c r="H126">
        <v>4</v>
      </c>
      <c r="I126">
        <v>0</v>
      </c>
      <c r="J126">
        <v>0</v>
      </c>
      <c r="K126">
        <v>457</v>
      </c>
      <c r="L126">
        <v>0</v>
      </c>
    </row>
    <row r="127" spans="1:12" x14ac:dyDescent="0.3">
      <c r="A127" t="s">
        <v>318</v>
      </c>
      <c r="B127">
        <v>3</v>
      </c>
      <c r="C127">
        <v>2</v>
      </c>
      <c r="D127" t="s">
        <v>194</v>
      </c>
      <c r="E127">
        <v>7.5</v>
      </c>
      <c r="F127">
        <v>1</v>
      </c>
      <c r="G127">
        <v>5</v>
      </c>
      <c r="H127">
        <v>5</v>
      </c>
      <c r="I127">
        <v>0</v>
      </c>
      <c r="J127">
        <v>9</v>
      </c>
      <c r="K127">
        <v>528</v>
      </c>
      <c r="L127">
        <v>0</v>
      </c>
    </row>
    <row r="128" spans="1:12" x14ac:dyDescent="0.3">
      <c r="A128" t="s">
        <v>319</v>
      </c>
      <c r="B128">
        <v>3</v>
      </c>
      <c r="C128">
        <v>2</v>
      </c>
      <c r="D128" t="s">
        <v>194</v>
      </c>
      <c r="E128">
        <v>4.2935999999999996</v>
      </c>
      <c r="F128">
        <v>1</v>
      </c>
      <c r="G128">
        <v>5</v>
      </c>
      <c r="H128">
        <v>5</v>
      </c>
      <c r="I128">
        <v>0</v>
      </c>
      <c r="J128">
        <v>5</v>
      </c>
      <c r="K128">
        <v>428</v>
      </c>
      <c r="L128">
        <v>0</v>
      </c>
    </row>
    <row r="129" spans="1:12" x14ac:dyDescent="0.3">
      <c r="A129" t="s">
        <v>320</v>
      </c>
      <c r="B129">
        <v>3</v>
      </c>
      <c r="C129">
        <v>2</v>
      </c>
      <c r="D129" t="s">
        <v>194</v>
      </c>
      <c r="E129">
        <v>4.2935999999999996</v>
      </c>
      <c r="F129">
        <v>1</v>
      </c>
      <c r="G129">
        <v>5</v>
      </c>
      <c r="H129">
        <v>5</v>
      </c>
      <c r="I129">
        <v>0</v>
      </c>
      <c r="J129">
        <v>5</v>
      </c>
      <c r="K129">
        <v>428</v>
      </c>
      <c r="L129">
        <v>0</v>
      </c>
    </row>
    <row r="130" spans="1:12" x14ac:dyDescent="0.3">
      <c r="A130" t="s">
        <v>321</v>
      </c>
      <c r="B130">
        <v>3</v>
      </c>
      <c r="C130">
        <v>2</v>
      </c>
      <c r="D130" t="s">
        <v>194</v>
      </c>
      <c r="E130">
        <v>4.2935999999999996</v>
      </c>
      <c r="F130">
        <v>1</v>
      </c>
      <c r="G130">
        <v>5</v>
      </c>
      <c r="H130">
        <v>5</v>
      </c>
      <c r="I130">
        <v>0</v>
      </c>
      <c r="J130">
        <v>5</v>
      </c>
      <c r="K130">
        <v>428</v>
      </c>
      <c r="L130">
        <v>0</v>
      </c>
    </row>
    <row r="131" spans="1:12" x14ac:dyDescent="0.3">
      <c r="A131" t="s">
        <v>322</v>
      </c>
      <c r="B131">
        <v>3</v>
      </c>
      <c r="C131">
        <v>2</v>
      </c>
      <c r="D131" t="s">
        <v>194</v>
      </c>
      <c r="E131">
        <v>4.2935999999999996</v>
      </c>
      <c r="F131">
        <v>1</v>
      </c>
      <c r="G131">
        <v>5</v>
      </c>
      <c r="H131">
        <v>5</v>
      </c>
      <c r="I131">
        <v>0</v>
      </c>
      <c r="J131">
        <v>5</v>
      </c>
      <c r="K131">
        <v>428</v>
      </c>
      <c r="L131">
        <v>0</v>
      </c>
    </row>
    <row r="132" spans="1:12" x14ac:dyDescent="0.3">
      <c r="A132" t="s">
        <v>323</v>
      </c>
      <c r="B132">
        <v>3</v>
      </c>
      <c r="C132">
        <v>2</v>
      </c>
      <c r="D132" t="s">
        <v>194</v>
      </c>
      <c r="E132">
        <v>4.2935999999999996</v>
      </c>
      <c r="F132">
        <v>1</v>
      </c>
      <c r="G132">
        <v>5</v>
      </c>
      <c r="H132">
        <v>5</v>
      </c>
      <c r="I132">
        <v>0</v>
      </c>
      <c r="J132">
        <v>5</v>
      </c>
      <c r="K132">
        <v>428</v>
      </c>
      <c r="L132">
        <v>0</v>
      </c>
    </row>
    <row r="133" spans="1:12" x14ac:dyDescent="0.3">
      <c r="A133" t="s">
        <v>324</v>
      </c>
      <c r="B133">
        <v>3</v>
      </c>
      <c r="C133">
        <v>2</v>
      </c>
      <c r="D133" t="s">
        <v>194</v>
      </c>
      <c r="E133">
        <v>4.2935999999999996</v>
      </c>
      <c r="F133">
        <v>1</v>
      </c>
      <c r="G133">
        <v>5</v>
      </c>
      <c r="H133">
        <v>5</v>
      </c>
      <c r="I133">
        <v>0</v>
      </c>
      <c r="J133">
        <v>5</v>
      </c>
      <c r="K133">
        <v>428</v>
      </c>
      <c r="L133">
        <v>0</v>
      </c>
    </row>
    <row r="134" spans="1:12" x14ac:dyDescent="0.3">
      <c r="A134" t="s">
        <v>325</v>
      </c>
      <c r="B134">
        <v>3</v>
      </c>
      <c r="C134">
        <v>2</v>
      </c>
      <c r="D134" t="s">
        <v>194</v>
      </c>
      <c r="E134">
        <v>4.2935999999999996</v>
      </c>
      <c r="F134">
        <v>1</v>
      </c>
      <c r="G134">
        <v>5</v>
      </c>
      <c r="H134">
        <v>5</v>
      </c>
      <c r="I134">
        <v>0</v>
      </c>
      <c r="J134">
        <v>5</v>
      </c>
      <c r="K134">
        <v>428</v>
      </c>
      <c r="L134">
        <v>0</v>
      </c>
    </row>
    <row r="135" spans="1:12" x14ac:dyDescent="0.3">
      <c r="A135" t="s">
        <v>326</v>
      </c>
      <c r="B135">
        <v>3</v>
      </c>
      <c r="C135">
        <v>2</v>
      </c>
      <c r="D135" t="s">
        <v>194</v>
      </c>
      <c r="E135">
        <v>4.2935999999999996</v>
      </c>
      <c r="F135">
        <v>1</v>
      </c>
      <c r="G135">
        <v>5</v>
      </c>
      <c r="H135">
        <v>5</v>
      </c>
      <c r="I135">
        <v>0</v>
      </c>
      <c r="J135">
        <v>5</v>
      </c>
      <c r="K135">
        <v>428</v>
      </c>
      <c r="L135">
        <v>0</v>
      </c>
    </row>
    <row r="136" spans="1:12" x14ac:dyDescent="0.3">
      <c r="A136" t="s">
        <v>327</v>
      </c>
      <c r="B136">
        <v>3</v>
      </c>
      <c r="C136">
        <v>2</v>
      </c>
      <c r="D136" t="s">
        <v>194</v>
      </c>
      <c r="E136">
        <v>4.2935999999999996</v>
      </c>
      <c r="F136">
        <v>1</v>
      </c>
      <c r="G136">
        <v>5</v>
      </c>
      <c r="H136">
        <v>5</v>
      </c>
      <c r="I136">
        <v>0</v>
      </c>
      <c r="J136">
        <v>5</v>
      </c>
      <c r="K136">
        <v>428</v>
      </c>
      <c r="L136">
        <v>0</v>
      </c>
    </row>
    <row r="137" spans="1:12" x14ac:dyDescent="0.3">
      <c r="A137" t="s">
        <v>328</v>
      </c>
      <c r="B137">
        <v>3</v>
      </c>
      <c r="C137">
        <v>2</v>
      </c>
      <c r="D137" t="s">
        <v>194</v>
      </c>
      <c r="E137">
        <v>4.2935999999999996</v>
      </c>
      <c r="F137">
        <v>1</v>
      </c>
      <c r="G137">
        <v>5</v>
      </c>
      <c r="H137">
        <v>5</v>
      </c>
      <c r="I137">
        <v>0</v>
      </c>
      <c r="J137">
        <v>5</v>
      </c>
      <c r="K137">
        <v>428</v>
      </c>
      <c r="L137">
        <v>0</v>
      </c>
    </row>
    <row r="138" spans="1:12" x14ac:dyDescent="0.3">
      <c r="A138" t="s">
        <v>329</v>
      </c>
      <c r="B138">
        <v>3</v>
      </c>
      <c r="C138">
        <v>2</v>
      </c>
      <c r="D138" t="s">
        <v>194</v>
      </c>
      <c r="E138">
        <v>4.2935999999999996</v>
      </c>
      <c r="F138">
        <v>1</v>
      </c>
      <c r="G138">
        <v>5</v>
      </c>
      <c r="H138">
        <v>5</v>
      </c>
      <c r="I138">
        <v>0</v>
      </c>
      <c r="J138">
        <v>5</v>
      </c>
      <c r="K138">
        <v>428</v>
      </c>
      <c r="L138">
        <v>0</v>
      </c>
    </row>
    <row r="139" spans="1:12" x14ac:dyDescent="0.3">
      <c r="A139" t="s">
        <v>330</v>
      </c>
      <c r="B139">
        <v>3</v>
      </c>
      <c r="C139">
        <v>2</v>
      </c>
      <c r="D139" t="s">
        <v>194</v>
      </c>
      <c r="E139">
        <v>2.5750000000000002</v>
      </c>
      <c r="F139">
        <v>1</v>
      </c>
      <c r="G139">
        <v>5</v>
      </c>
      <c r="H139">
        <v>5</v>
      </c>
      <c r="I139">
        <v>0</v>
      </c>
      <c r="J139">
        <v>5</v>
      </c>
      <c r="K139">
        <v>428</v>
      </c>
      <c r="L139">
        <v>0</v>
      </c>
    </row>
    <row r="140" spans="1:12" x14ac:dyDescent="0.3">
      <c r="A140" t="s">
        <v>331</v>
      </c>
      <c r="B140">
        <v>3</v>
      </c>
      <c r="C140">
        <v>2</v>
      </c>
      <c r="D140" t="s">
        <v>194</v>
      </c>
      <c r="E140">
        <v>4.2935999999999996</v>
      </c>
      <c r="F140">
        <v>1</v>
      </c>
      <c r="G140">
        <v>5</v>
      </c>
      <c r="H140">
        <v>5</v>
      </c>
      <c r="I140">
        <v>0</v>
      </c>
      <c r="J140">
        <v>5</v>
      </c>
      <c r="K140">
        <v>428</v>
      </c>
      <c r="L140">
        <v>0</v>
      </c>
    </row>
    <row r="141" spans="1:12" x14ac:dyDescent="0.3">
      <c r="A141" t="s">
        <v>332</v>
      </c>
      <c r="B141">
        <v>3</v>
      </c>
      <c r="C141">
        <v>2</v>
      </c>
      <c r="D141" t="s">
        <v>194</v>
      </c>
      <c r="E141">
        <v>4.2935999999999996</v>
      </c>
      <c r="F141">
        <v>1</v>
      </c>
      <c r="G141">
        <v>5</v>
      </c>
      <c r="H141">
        <v>5</v>
      </c>
      <c r="I141">
        <v>0</v>
      </c>
      <c r="J141">
        <v>5</v>
      </c>
      <c r="K141">
        <v>428</v>
      </c>
      <c r="L141">
        <v>0</v>
      </c>
    </row>
    <row r="142" spans="1:12" x14ac:dyDescent="0.3">
      <c r="A142" t="s">
        <v>333</v>
      </c>
      <c r="B142">
        <v>3</v>
      </c>
      <c r="C142">
        <v>2</v>
      </c>
      <c r="D142" t="s">
        <v>194</v>
      </c>
      <c r="E142">
        <v>2.7069999999999999</v>
      </c>
      <c r="F142">
        <v>1</v>
      </c>
      <c r="G142">
        <v>5</v>
      </c>
      <c r="H142">
        <v>5</v>
      </c>
      <c r="I142">
        <v>0</v>
      </c>
      <c r="J142">
        <v>6</v>
      </c>
      <c r="K142">
        <v>428</v>
      </c>
      <c r="L142">
        <v>0</v>
      </c>
    </row>
    <row r="143" spans="1:12" x14ac:dyDescent="0.3">
      <c r="A143" t="s">
        <v>334</v>
      </c>
      <c r="B143">
        <v>3</v>
      </c>
      <c r="C143">
        <v>2</v>
      </c>
      <c r="D143" t="s">
        <v>194</v>
      </c>
      <c r="E143">
        <v>5.9950000000000001</v>
      </c>
      <c r="F143">
        <v>1</v>
      </c>
      <c r="G143">
        <v>5</v>
      </c>
      <c r="H143">
        <v>5</v>
      </c>
      <c r="I143">
        <v>0</v>
      </c>
      <c r="J143">
        <v>9</v>
      </c>
      <c r="K143">
        <v>429</v>
      </c>
      <c r="L143">
        <v>0</v>
      </c>
    </row>
    <row r="144" spans="1:12" x14ac:dyDescent="0.3">
      <c r="A144" t="s">
        <v>335</v>
      </c>
      <c r="B144">
        <v>3</v>
      </c>
      <c r="C144">
        <v>2</v>
      </c>
      <c r="D144" t="s">
        <v>194</v>
      </c>
      <c r="E144">
        <v>4.2935999999999996</v>
      </c>
      <c r="F144">
        <v>1</v>
      </c>
      <c r="G144">
        <v>5</v>
      </c>
      <c r="H144">
        <v>5</v>
      </c>
      <c r="I144">
        <v>0</v>
      </c>
      <c r="J144">
        <v>5</v>
      </c>
      <c r="K144">
        <v>428</v>
      </c>
      <c r="L144">
        <v>0</v>
      </c>
    </row>
    <row r="145" spans="1:12" x14ac:dyDescent="0.3">
      <c r="A145" t="s">
        <v>336</v>
      </c>
      <c r="B145">
        <v>3</v>
      </c>
      <c r="C145">
        <v>2</v>
      </c>
      <c r="D145" t="s">
        <v>194</v>
      </c>
      <c r="E145">
        <v>2.7069999999999999</v>
      </c>
      <c r="F145">
        <v>1</v>
      </c>
      <c r="G145">
        <v>5</v>
      </c>
      <c r="H145">
        <v>5</v>
      </c>
      <c r="I145">
        <v>0</v>
      </c>
      <c r="J145">
        <v>6</v>
      </c>
      <c r="K145">
        <v>428</v>
      </c>
      <c r="L145">
        <v>0</v>
      </c>
    </row>
    <row r="146" spans="1:12" x14ac:dyDescent="0.3">
      <c r="A146" t="s">
        <v>337</v>
      </c>
      <c r="B146">
        <v>3</v>
      </c>
      <c r="C146">
        <v>2</v>
      </c>
      <c r="D146" t="s">
        <v>194</v>
      </c>
      <c r="E146">
        <v>2.7069999999999999</v>
      </c>
      <c r="F146">
        <v>1</v>
      </c>
      <c r="G146">
        <v>5</v>
      </c>
      <c r="H146">
        <v>5</v>
      </c>
      <c r="I146">
        <v>0</v>
      </c>
      <c r="J146">
        <v>6</v>
      </c>
      <c r="K146">
        <v>428</v>
      </c>
      <c r="L146">
        <v>0</v>
      </c>
    </row>
    <row r="147" spans="1:12" x14ac:dyDescent="0.3">
      <c r="A147" t="s">
        <v>338</v>
      </c>
      <c r="B147">
        <v>3</v>
      </c>
      <c r="C147">
        <v>2</v>
      </c>
      <c r="D147" t="s">
        <v>194</v>
      </c>
      <c r="E147">
        <v>2.7069999999999999</v>
      </c>
      <c r="F147">
        <v>1</v>
      </c>
      <c r="G147">
        <v>5</v>
      </c>
      <c r="H147">
        <v>5</v>
      </c>
      <c r="I147">
        <v>0</v>
      </c>
      <c r="J147">
        <v>6</v>
      </c>
      <c r="K147">
        <v>428</v>
      </c>
      <c r="L147">
        <v>0</v>
      </c>
    </row>
    <row r="148" spans="1:12" x14ac:dyDescent="0.3">
      <c r="A148" t="s">
        <v>339</v>
      </c>
      <c r="B148">
        <v>3</v>
      </c>
      <c r="C148">
        <v>2</v>
      </c>
      <c r="D148" t="s">
        <v>194</v>
      </c>
      <c r="E148">
        <v>2.5632000000000001</v>
      </c>
      <c r="F148">
        <v>1</v>
      </c>
      <c r="G148">
        <v>5</v>
      </c>
      <c r="H148">
        <v>5</v>
      </c>
      <c r="I148">
        <v>0</v>
      </c>
      <c r="J148">
        <v>6</v>
      </c>
      <c r="K148">
        <v>428</v>
      </c>
      <c r="L148">
        <v>0</v>
      </c>
    </row>
    <row r="149" spans="1:12" x14ac:dyDescent="0.3">
      <c r="A149" t="s">
        <v>340</v>
      </c>
      <c r="B149">
        <v>3</v>
      </c>
      <c r="C149">
        <v>2</v>
      </c>
      <c r="D149" t="s">
        <v>194</v>
      </c>
      <c r="E149">
        <v>4.2935999999999996</v>
      </c>
      <c r="F149">
        <v>1</v>
      </c>
      <c r="G149">
        <v>5</v>
      </c>
      <c r="H149">
        <v>5</v>
      </c>
      <c r="I149">
        <v>0</v>
      </c>
      <c r="J149">
        <v>5</v>
      </c>
      <c r="K149">
        <v>428</v>
      </c>
      <c r="L149">
        <v>0</v>
      </c>
    </row>
    <row r="150" spans="1:12" x14ac:dyDescent="0.3">
      <c r="A150" t="s">
        <v>341</v>
      </c>
      <c r="B150">
        <v>3</v>
      </c>
      <c r="C150">
        <v>2</v>
      </c>
      <c r="D150" t="s">
        <v>194</v>
      </c>
      <c r="E150">
        <v>2.7069999999999999</v>
      </c>
      <c r="F150">
        <v>1</v>
      </c>
      <c r="G150">
        <v>5</v>
      </c>
      <c r="H150">
        <v>5</v>
      </c>
      <c r="I150">
        <v>0</v>
      </c>
      <c r="J150">
        <v>6</v>
      </c>
      <c r="K150">
        <v>428</v>
      </c>
      <c r="L150">
        <v>0</v>
      </c>
    </row>
    <row r="151" spans="1:12" x14ac:dyDescent="0.3">
      <c r="A151" t="s">
        <v>342</v>
      </c>
      <c r="B151">
        <v>3</v>
      </c>
      <c r="C151">
        <v>2</v>
      </c>
      <c r="D151" t="s">
        <v>194</v>
      </c>
      <c r="E151">
        <v>4.2935999999999996</v>
      </c>
      <c r="F151">
        <v>1</v>
      </c>
      <c r="G151">
        <v>5</v>
      </c>
      <c r="H151">
        <v>5</v>
      </c>
      <c r="I151">
        <v>0</v>
      </c>
      <c r="J151">
        <v>5</v>
      </c>
      <c r="K151">
        <v>428</v>
      </c>
      <c r="L151">
        <v>0</v>
      </c>
    </row>
    <row r="152" spans="1:12" x14ac:dyDescent="0.3">
      <c r="A152" t="s">
        <v>343</v>
      </c>
      <c r="B152">
        <v>3</v>
      </c>
      <c r="C152">
        <v>2</v>
      </c>
      <c r="D152" t="s">
        <v>194</v>
      </c>
      <c r="E152">
        <v>4.2935999999999996</v>
      </c>
      <c r="F152">
        <v>1</v>
      </c>
      <c r="G152">
        <v>5</v>
      </c>
      <c r="H152">
        <v>5</v>
      </c>
      <c r="I152">
        <v>0</v>
      </c>
      <c r="J152">
        <v>5</v>
      </c>
      <c r="K152">
        <v>428</v>
      </c>
      <c r="L152">
        <v>0</v>
      </c>
    </row>
    <row r="153" spans="1:12" x14ac:dyDescent="0.3">
      <c r="A153" t="s">
        <v>344</v>
      </c>
      <c r="B153">
        <v>3</v>
      </c>
      <c r="C153">
        <v>2</v>
      </c>
      <c r="D153" t="s">
        <v>194</v>
      </c>
      <c r="E153">
        <v>4.2935999999999996</v>
      </c>
      <c r="F153">
        <v>1</v>
      </c>
      <c r="G153">
        <v>5</v>
      </c>
      <c r="H153">
        <v>5</v>
      </c>
      <c r="I153">
        <v>0</v>
      </c>
      <c r="J153">
        <v>5</v>
      </c>
      <c r="K153">
        <v>428</v>
      </c>
      <c r="L153">
        <v>0</v>
      </c>
    </row>
    <row r="154" spans="1:12" x14ac:dyDescent="0.3">
      <c r="A154" t="s">
        <v>345</v>
      </c>
      <c r="B154">
        <v>3</v>
      </c>
      <c r="C154">
        <v>2</v>
      </c>
      <c r="D154" t="s">
        <v>194</v>
      </c>
      <c r="E154">
        <v>2.7069999999999999</v>
      </c>
      <c r="F154">
        <v>1</v>
      </c>
      <c r="G154">
        <v>5</v>
      </c>
      <c r="H154">
        <v>5</v>
      </c>
      <c r="I154">
        <v>0</v>
      </c>
      <c r="J154">
        <v>6</v>
      </c>
      <c r="K154">
        <v>428</v>
      </c>
      <c r="L154">
        <v>0</v>
      </c>
    </row>
    <row r="155" spans="1:12" x14ac:dyDescent="0.3">
      <c r="A155" t="s">
        <v>346</v>
      </c>
      <c r="B155">
        <v>3</v>
      </c>
      <c r="C155">
        <v>2</v>
      </c>
      <c r="D155" t="s">
        <v>194</v>
      </c>
      <c r="E155">
        <v>4.2935999999999996</v>
      </c>
      <c r="F155">
        <v>1</v>
      </c>
      <c r="G155">
        <v>5</v>
      </c>
      <c r="H155">
        <v>5</v>
      </c>
      <c r="I155">
        <v>0</v>
      </c>
      <c r="J155">
        <v>5</v>
      </c>
      <c r="K155">
        <v>428</v>
      </c>
      <c r="L155">
        <v>0</v>
      </c>
    </row>
    <row r="156" spans="1:12" x14ac:dyDescent="0.3">
      <c r="A156" t="s">
        <v>347</v>
      </c>
      <c r="B156">
        <v>3</v>
      </c>
      <c r="C156">
        <v>2</v>
      </c>
      <c r="D156" t="s">
        <v>194</v>
      </c>
      <c r="E156">
        <v>4.2935999999999996</v>
      </c>
      <c r="F156">
        <v>1</v>
      </c>
      <c r="G156">
        <v>5</v>
      </c>
      <c r="H156">
        <v>5</v>
      </c>
      <c r="I156">
        <v>0</v>
      </c>
      <c r="J156">
        <v>5</v>
      </c>
      <c r="K156">
        <v>428</v>
      </c>
      <c r="L156">
        <v>0</v>
      </c>
    </row>
    <row r="157" spans="1:12" x14ac:dyDescent="0.3">
      <c r="A157" t="s">
        <v>348</v>
      </c>
      <c r="B157">
        <v>3</v>
      </c>
      <c r="C157">
        <v>2</v>
      </c>
      <c r="D157" t="s">
        <v>194</v>
      </c>
      <c r="E157">
        <v>2.7069999999999999</v>
      </c>
      <c r="F157">
        <v>1</v>
      </c>
      <c r="G157">
        <v>5</v>
      </c>
      <c r="H157">
        <v>5</v>
      </c>
      <c r="I157">
        <v>0</v>
      </c>
      <c r="J157">
        <v>6</v>
      </c>
      <c r="K157">
        <v>428</v>
      </c>
      <c r="L157">
        <v>0</v>
      </c>
    </row>
    <row r="158" spans="1:12" x14ac:dyDescent="0.3">
      <c r="A158" t="s">
        <v>349</v>
      </c>
      <c r="B158">
        <v>3</v>
      </c>
      <c r="C158">
        <v>2</v>
      </c>
      <c r="D158" t="s">
        <v>194</v>
      </c>
      <c r="E158">
        <v>4.2934999999999999</v>
      </c>
      <c r="F158">
        <v>1</v>
      </c>
      <c r="G158">
        <v>5</v>
      </c>
      <c r="H158">
        <v>5</v>
      </c>
      <c r="I158">
        <v>0</v>
      </c>
      <c r="J158">
        <v>5</v>
      </c>
      <c r="K158">
        <v>428</v>
      </c>
      <c r="L158">
        <v>0</v>
      </c>
    </row>
    <row r="159" spans="1:12" x14ac:dyDescent="0.3">
      <c r="A159" t="s">
        <v>350</v>
      </c>
      <c r="B159">
        <v>3</v>
      </c>
      <c r="C159">
        <v>2</v>
      </c>
      <c r="D159" t="s">
        <v>194</v>
      </c>
      <c r="E159">
        <v>4.2935999999999996</v>
      </c>
      <c r="F159">
        <v>1</v>
      </c>
      <c r="G159">
        <v>5</v>
      </c>
      <c r="H159">
        <v>5</v>
      </c>
      <c r="I159">
        <v>0</v>
      </c>
      <c r="J159">
        <v>5</v>
      </c>
      <c r="K159">
        <v>428</v>
      </c>
      <c r="L159">
        <v>0</v>
      </c>
    </row>
    <row r="160" spans="1:12" x14ac:dyDescent="0.3">
      <c r="A160" t="s">
        <v>351</v>
      </c>
      <c r="B160">
        <v>3</v>
      </c>
      <c r="C160">
        <v>2</v>
      </c>
      <c r="D160" t="s">
        <v>194</v>
      </c>
      <c r="E160">
        <v>4.2935999999999996</v>
      </c>
      <c r="F160">
        <v>1</v>
      </c>
      <c r="G160">
        <v>5</v>
      </c>
      <c r="H160">
        <v>5</v>
      </c>
      <c r="I160">
        <v>0</v>
      </c>
      <c r="J160">
        <v>5</v>
      </c>
      <c r="K160">
        <v>428</v>
      </c>
      <c r="L160">
        <v>0</v>
      </c>
    </row>
    <row r="161" spans="1:12" x14ac:dyDescent="0.3">
      <c r="A161" t="s">
        <v>352</v>
      </c>
      <c r="B161">
        <v>3</v>
      </c>
      <c r="C161">
        <v>2</v>
      </c>
      <c r="D161" t="s">
        <v>194</v>
      </c>
      <c r="E161">
        <v>5.9950000000000001</v>
      </c>
      <c r="F161">
        <v>1</v>
      </c>
      <c r="G161">
        <v>5</v>
      </c>
      <c r="H161">
        <v>5</v>
      </c>
      <c r="I161">
        <v>0</v>
      </c>
      <c r="J161">
        <v>9</v>
      </c>
      <c r="K161">
        <v>429</v>
      </c>
      <c r="L161">
        <v>0</v>
      </c>
    </row>
    <row r="162" spans="1:12" x14ac:dyDescent="0.3">
      <c r="A162" t="s">
        <v>353</v>
      </c>
      <c r="B162">
        <v>3</v>
      </c>
      <c r="C162">
        <v>2</v>
      </c>
      <c r="D162" t="s">
        <v>194</v>
      </c>
      <c r="E162">
        <v>2.7069999999999999</v>
      </c>
      <c r="F162">
        <v>1</v>
      </c>
      <c r="G162">
        <v>5</v>
      </c>
      <c r="H162">
        <v>5</v>
      </c>
      <c r="I162">
        <v>0</v>
      </c>
      <c r="J162">
        <v>6</v>
      </c>
      <c r="K162">
        <v>428</v>
      </c>
      <c r="L162">
        <v>0</v>
      </c>
    </row>
    <row r="163" spans="1:12" x14ac:dyDescent="0.3">
      <c r="A163" t="s">
        <v>354</v>
      </c>
      <c r="B163">
        <v>3</v>
      </c>
      <c r="C163">
        <v>2</v>
      </c>
      <c r="D163" t="s">
        <v>194</v>
      </c>
      <c r="E163">
        <v>4.2935999999999996</v>
      </c>
      <c r="F163">
        <v>1</v>
      </c>
      <c r="G163">
        <v>5</v>
      </c>
      <c r="H163">
        <v>5</v>
      </c>
      <c r="I163">
        <v>0</v>
      </c>
      <c r="J163">
        <v>5</v>
      </c>
      <c r="K163">
        <v>428</v>
      </c>
      <c r="L163">
        <v>0</v>
      </c>
    </row>
    <row r="164" spans="1:12" x14ac:dyDescent="0.3">
      <c r="A164" t="s">
        <v>355</v>
      </c>
      <c r="B164">
        <v>3</v>
      </c>
      <c r="C164">
        <v>2</v>
      </c>
      <c r="D164" t="s">
        <v>194</v>
      </c>
      <c r="E164">
        <v>4.4839000000000002</v>
      </c>
      <c r="F164">
        <v>1</v>
      </c>
      <c r="G164">
        <v>5</v>
      </c>
      <c r="H164">
        <v>5</v>
      </c>
      <c r="I164">
        <v>0</v>
      </c>
      <c r="J164">
        <v>5</v>
      </c>
      <c r="K164">
        <v>428</v>
      </c>
      <c r="L164">
        <v>0</v>
      </c>
    </row>
    <row r="165" spans="1:12" x14ac:dyDescent="0.3">
      <c r="A165" t="s">
        <v>356</v>
      </c>
      <c r="B165">
        <v>3</v>
      </c>
      <c r="C165">
        <v>2</v>
      </c>
      <c r="D165" t="s">
        <v>194</v>
      </c>
      <c r="E165">
        <v>4.2935999999999996</v>
      </c>
      <c r="F165">
        <v>1</v>
      </c>
      <c r="G165">
        <v>5</v>
      </c>
      <c r="H165">
        <v>5</v>
      </c>
      <c r="I165">
        <v>0</v>
      </c>
      <c r="J165">
        <v>5</v>
      </c>
      <c r="K165">
        <v>428</v>
      </c>
      <c r="L165">
        <v>0</v>
      </c>
    </row>
    <row r="166" spans="1:12" x14ac:dyDescent="0.3">
      <c r="A166" t="s">
        <v>357</v>
      </c>
      <c r="B166">
        <v>3</v>
      </c>
      <c r="C166">
        <v>2</v>
      </c>
      <c r="D166" t="s">
        <v>194</v>
      </c>
      <c r="E166">
        <v>4.2935999999999996</v>
      </c>
      <c r="F166">
        <v>1</v>
      </c>
      <c r="G166">
        <v>5</v>
      </c>
      <c r="H166">
        <v>5</v>
      </c>
      <c r="I166">
        <v>0</v>
      </c>
      <c r="J166">
        <v>5</v>
      </c>
      <c r="K166">
        <v>428</v>
      </c>
      <c r="L166">
        <v>0</v>
      </c>
    </row>
    <row r="167" spans="1:12" x14ac:dyDescent="0.3">
      <c r="A167" t="s">
        <v>358</v>
      </c>
      <c r="B167">
        <v>3</v>
      </c>
      <c r="C167">
        <v>2</v>
      </c>
      <c r="D167" t="s">
        <v>194</v>
      </c>
      <c r="E167">
        <v>4.2935999999999996</v>
      </c>
      <c r="F167">
        <v>1</v>
      </c>
      <c r="G167">
        <v>5</v>
      </c>
      <c r="H167">
        <v>5</v>
      </c>
      <c r="I167">
        <v>0</v>
      </c>
      <c r="J167">
        <v>5</v>
      </c>
      <c r="K167">
        <v>428</v>
      </c>
      <c r="L167">
        <v>0</v>
      </c>
    </row>
    <row r="168" spans="1:12" x14ac:dyDescent="0.3">
      <c r="A168" t="s">
        <v>359</v>
      </c>
      <c r="B168">
        <v>3</v>
      </c>
      <c r="C168">
        <v>2</v>
      </c>
      <c r="D168" t="s">
        <v>194</v>
      </c>
      <c r="E168">
        <v>4.4839000000000002</v>
      </c>
      <c r="F168">
        <v>1</v>
      </c>
      <c r="G168">
        <v>5</v>
      </c>
      <c r="H168">
        <v>5</v>
      </c>
      <c r="I168">
        <v>0</v>
      </c>
      <c r="J168">
        <v>5</v>
      </c>
      <c r="K168">
        <v>428</v>
      </c>
      <c r="L168">
        <v>0</v>
      </c>
    </row>
    <row r="169" spans="1:12" x14ac:dyDescent="0.3">
      <c r="A169" t="s">
        <v>360</v>
      </c>
      <c r="B169">
        <v>3</v>
      </c>
      <c r="C169">
        <v>2</v>
      </c>
      <c r="D169" t="s">
        <v>194</v>
      </c>
      <c r="E169">
        <v>4.2935999999999996</v>
      </c>
      <c r="F169">
        <v>1</v>
      </c>
      <c r="G169">
        <v>5</v>
      </c>
      <c r="H169">
        <v>5</v>
      </c>
      <c r="I169">
        <v>0</v>
      </c>
      <c r="J169">
        <v>5</v>
      </c>
      <c r="K169">
        <v>428</v>
      </c>
      <c r="L169">
        <v>0</v>
      </c>
    </row>
    <row r="170" spans="1:12" x14ac:dyDescent="0.3">
      <c r="A170" t="s">
        <v>361</v>
      </c>
      <c r="B170">
        <v>3</v>
      </c>
      <c r="C170">
        <v>2</v>
      </c>
      <c r="D170" t="s">
        <v>194</v>
      </c>
      <c r="E170">
        <v>4.2935999999999996</v>
      </c>
      <c r="F170">
        <v>1</v>
      </c>
      <c r="G170">
        <v>5</v>
      </c>
      <c r="H170">
        <v>5</v>
      </c>
      <c r="I170">
        <v>0</v>
      </c>
      <c r="J170">
        <v>5</v>
      </c>
      <c r="K170">
        <v>428</v>
      </c>
      <c r="L170">
        <v>0</v>
      </c>
    </row>
    <row r="171" spans="1:12" x14ac:dyDescent="0.3">
      <c r="A171" t="s">
        <v>362</v>
      </c>
      <c r="B171">
        <v>3</v>
      </c>
      <c r="C171">
        <v>2</v>
      </c>
      <c r="D171" t="s">
        <v>194</v>
      </c>
      <c r="E171">
        <v>4.2935999999999996</v>
      </c>
      <c r="F171">
        <v>1</v>
      </c>
      <c r="G171">
        <v>5</v>
      </c>
      <c r="H171">
        <v>5</v>
      </c>
      <c r="I171">
        <v>0</v>
      </c>
      <c r="J171">
        <v>5</v>
      </c>
      <c r="K171">
        <v>428</v>
      </c>
      <c r="L171">
        <v>0</v>
      </c>
    </row>
    <row r="172" spans="1:12" x14ac:dyDescent="0.3">
      <c r="A172" t="s">
        <v>363</v>
      </c>
      <c r="B172">
        <v>3</v>
      </c>
      <c r="C172">
        <v>2</v>
      </c>
      <c r="D172" t="s">
        <v>194</v>
      </c>
      <c r="E172">
        <v>4.4839000000000002</v>
      </c>
      <c r="F172">
        <v>1</v>
      </c>
      <c r="G172">
        <v>5</v>
      </c>
      <c r="H172">
        <v>5</v>
      </c>
      <c r="I172">
        <v>0</v>
      </c>
      <c r="J172">
        <v>5</v>
      </c>
      <c r="K172">
        <v>428</v>
      </c>
      <c r="L172">
        <v>0</v>
      </c>
    </row>
    <row r="173" spans="1:12" x14ac:dyDescent="0.3">
      <c r="A173" t="s">
        <v>364</v>
      </c>
      <c r="B173">
        <v>3</v>
      </c>
      <c r="C173">
        <v>2</v>
      </c>
      <c r="D173" t="s">
        <v>194</v>
      </c>
      <c r="E173">
        <v>2.7069999999999999</v>
      </c>
      <c r="F173">
        <v>1</v>
      </c>
      <c r="G173">
        <v>5</v>
      </c>
      <c r="H173">
        <v>5</v>
      </c>
      <c r="I173">
        <v>0</v>
      </c>
      <c r="J173">
        <v>6</v>
      </c>
      <c r="K173">
        <v>428</v>
      </c>
      <c r="L173">
        <v>0</v>
      </c>
    </row>
    <row r="174" spans="1:12" x14ac:dyDescent="0.3">
      <c r="A174" t="s">
        <v>365</v>
      </c>
      <c r="B174">
        <v>3</v>
      </c>
      <c r="C174">
        <v>2</v>
      </c>
      <c r="D174" t="s">
        <v>194</v>
      </c>
      <c r="E174">
        <v>1.6459999999999999</v>
      </c>
      <c r="F174">
        <v>1</v>
      </c>
      <c r="G174">
        <v>5</v>
      </c>
      <c r="H174">
        <v>5</v>
      </c>
      <c r="I174">
        <v>0</v>
      </c>
      <c r="J174">
        <v>3</v>
      </c>
      <c r="K174">
        <v>428</v>
      </c>
      <c r="L174">
        <v>0</v>
      </c>
    </row>
    <row r="175" spans="1:12" x14ac:dyDescent="0.3">
      <c r="A175" t="s">
        <v>366</v>
      </c>
      <c r="B175">
        <v>3</v>
      </c>
      <c r="C175">
        <v>2</v>
      </c>
      <c r="D175" t="s">
        <v>194</v>
      </c>
      <c r="E175">
        <v>4.2935999999999996</v>
      </c>
      <c r="F175">
        <v>1</v>
      </c>
      <c r="G175">
        <v>5</v>
      </c>
      <c r="H175">
        <v>5</v>
      </c>
      <c r="I175">
        <v>0</v>
      </c>
      <c r="J175">
        <v>5</v>
      </c>
      <c r="K175">
        <v>428</v>
      </c>
      <c r="L175">
        <v>0</v>
      </c>
    </row>
    <row r="176" spans="1:12" x14ac:dyDescent="0.3">
      <c r="A176" t="s">
        <v>367</v>
      </c>
      <c r="B176">
        <v>3</v>
      </c>
      <c r="C176">
        <v>2</v>
      </c>
      <c r="D176" t="s">
        <v>194</v>
      </c>
      <c r="E176">
        <v>4.2935999999999996</v>
      </c>
      <c r="F176">
        <v>1</v>
      </c>
      <c r="G176">
        <v>5</v>
      </c>
      <c r="H176">
        <v>5</v>
      </c>
      <c r="I176">
        <v>0</v>
      </c>
      <c r="J176">
        <v>5</v>
      </c>
      <c r="K176">
        <v>428</v>
      </c>
      <c r="L176">
        <v>0</v>
      </c>
    </row>
    <row r="177" spans="1:12" x14ac:dyDescent="0.3">
      <c r="A177" t="s">
        <v>368</v>
      </c>
      <c r="B177">
        <v>3</v>
      </c>
      <c r="C177">
        <v>2</v>
      </c>
      <c r="D177" t="s">
        <v>194</v>
      </c>
      <c r="E177">
        <v>4.2935999999999996</v>
      </c>
      <c r="F177">
        <v>1</v>
      </c>
      <c r="G177">
        <v>5</v>
      </c>
      <c r="H177">
        <v>5</v>
      </c>
      <c r="I177">
        <v>0</v>
      </c>
      <c r="J177">
        <v>5</v>
      </c>
      <c r="K177">
        <v>428</v>
      </c>
      <c r="L177">
        <v>0</v>
      </c>
    </row>
    <row r="178" spans="1:12" x14ac:dyDescent="0.3">
      <c r="A178" t="s">
        <v>369</v>
      </c>
      <c r="B178">
        <v>3</v>
      </c>
      <c r="C178">
        <v>2</v>
      </c>
      <c r="D178" t="s">
        <v>194</v>
      </c>
      <c r="E178">
        <v>4.2935999999999996</v>
      </c>
      <c r="F178">
        <v>1</v>
      </c>
      <c r="G178">
        <v>5</v>
      </c>
      <c r="H178">
        <v>5</v>
      </c>
      <c r="I178">
        <v>0</v>
      </c>
      <c r="J178">
        <v>5</v>
      </c>
      <c r="K178">
        <v>428</v>
      </c>
      <c r="L178">
        <v>0</v>
      </c>
    </row>
    <row r="179" spans="1:12" x14ac:dyDescent="0.3">
      <c r="A179" t="s">
        <v>370</v>
      </c>
      <c r="B179">
        <v>3</v>
      </c>
      <c r="C179">
        <v>2</v>
      </c>
      <c r="D179" t="s">
        <v>194</v>
      </c>
      <c r="E179">
        <v>4.2935999999999996</v>
      </c>
      <c r="F179">
        <v>1</v>
      </c>
      <c r="G179">
        <v>5</v>
      </c>
      <c r="H179">
        <v>5</v>
      </c>
      <c r="I179">
        <v>0</v>
      </c>
      <c r="J179">
        <v>5</v>
      </c>
      <c r="K179">
        <v>428</v>
      </c>
      <c r="L179">
        <v>0</v>
      </c>
    </row>
    <row r="180" spans="1:12" x14ac:dyDescent="0.3">
      <c r="A180" t="s">
        <v>371</v>
      </c>
      <c r="B180">
        <v>3</v>
      </c>
      <c r="C180">
        <v>2</v>
      </c>
      <c r="D180" t="s">
        <v>194</v>
      </c>
      <c r="E180">
        <v>4.2935999999999996</v>
      </c>
      <c r="F180">
        <v>1</v>
      </c>
      <c r="G180">
        <v>5</v>
      </c>
      <c r="H180">
        <v>5</v>
      </c>
      <c r="I180">
        <v>0</v>
      </c>
      <c r="J180">
        <v>5</v>
      </c>
      <c r="K180">
        <v>428</v>
      </c>
      <c r="L180">
        <v>0</v>
      </c>
    </row>
    <row r="181" spans="1:12" x14ac:dyDescent="0.3">
      <c r="A181" t="s">
        <v>372</v>
      </c>
      <c r="B181">
        <v>3</v>
      </c>
      <c r="C181">
        <v>2</v>
      </c>
      <c r="D181" t="s">
        <v>194</v>
      </c>
      <c r="E181">
        <v>4.2935999999999996</v>
      </c>
      <c r="F181">
        <v>1</v>
      </c>
      <c r="G181">
        <v>5</v>
      </c>
      <c r="H181">
        <v>5</v>
      </c>
      <c r="I181">
        <v>0</v>
      </c>
      <c r="J181">
        <v>5</v>
      </c>
      <c r="K181">
        <v>428</v>
      </c>
      <c r="L181">
        <v>0</v>
      </c>
    </row>
    <row r="182" spans="1:12" x14ac:dyDescent="0.3">
      <c r="A182" t="s">
        <v>373</v>
      </c>
      <c r="B182">
        <v>3</v>
      </c>
      <c r="C182">
        <v>2</v>
      </c>
      <c r="D182" t="s">
        <v>194</v>
      </c>
      <c r="E182">
        <v>4.4839000000000002</v>
      </c>
      <c r="F182">
        <v>1</v>
      </c>
      <c r="G182">
        <v>5</v>
      </c>
      <c r="H182">
        <v>5</v>
      </c>
      <c r="I182">
        <v>0</v>
      </c>
      <c r="J182">
        <v>5</v>
      </c>
      <c r="K182">
        <v>428</v>
      </c>
      <c r="L182">
        <v>0</v>
      </c>
    </row>
    <row r="183" spans="1:12" x14ac:dyDescent="0.3">
      <c r="A183" t="s">
        <v>374</v>
      </c>
      <c r="B183">
        <v>3</v>
      </c>
      <c r="C183">
        <v>2</v>
      </c>
      <c r="D183" t="s">
        <v>194</v>
      </c>
      <c r="E183">
        <v>4.4839000000000002</v>
      </c>
      <c r="F183">
        <v>1</v>
      </c>
      <c r="G183">
        <v>5</v>
      </c>
      <c r="H183">
        <v>5</v>
      </c>
      <c r="I183">
        <v>0</v>
      </c>
      <c r="J183">
        <v>5</v>
      </c>
      <c r="K183">
        <v>428</v>
      </c>
      <c r="L183">
        <v>60</v>
      </c>
    </row>
    <row r="184" spans="1:12" x14ac:dyDescent="0.3">
      <c r="A184" t="s">
        <v>375</v>
      </c>
      <c r="B184">
        <v>3</v>
      </c>
      <c r="C184">
        <v>2</v>
      </c>
      <c r="D184" t="s">
        <v>194</v>
      </c>
      <c r="E184">
        <v>4.2935999999999996</v>
      </c>
      <c r="F184">
        <v>1</v>
      </c>
      <c r="G184">
        <v>5</v>
      </c>
      <c r="H184">
        <v>5</v>
      </c>
      <c r="I184">
        <v>0</v>
      </c>
      <c r="J184">
        <v>5</v>
      </c>
      <c r="K184">
        <v>428</v>
      </c>
      <c r="L184">
        <v>0</v>
      </c>
    </row>
    <row r="185" spans="1:12" x14ac:dyDescent="0.3">
      <c r="A185" t="s">
        <v>376</v>
      </c>
      <c r="B185">
        <v>3</v>
      </c>
      <c r="C185">
        <v>2</v>
      </c>
      <c r="D185" t="s">
        <v>194</v>
      </c>
      <c r="E185">
        <v>4.2935999999999996</v>
      </c>
      <c r="F185">
        <v>1</v>
      </c>
      <c r="G185">
        <v>5</v>
      </c>
      <c r="H185">
        <v>5</v>
      </c>
      <c r="I185">
        <v>0</v>
      </c>
      <c r="J185">
        <v>5</v>
      </c>
      <c r="K185">
        <v>428</v>
      </c>
      <c r="L185">
        <v>0</v>
      </c>
    </row>
    <row r="186" spans="1:12" x14ac:dyDescent="0.3">
      <c r="A186" t="s">
        <v>377</v>
      </c>
      <c r="B186">
        <v>3</v>
      </c>
      <c r="C186">
        <v>2</v>
      </c>
      <c r="D186" t="s">
        <v>194</v>
      </c>
      <c r="E186">
        <v>4.2935999999999996</v>
      </c>
      <c r="F186">
        <v>1</v>
      </c>
      <c r="G186">
        <v>5</v>
      </c>
      <c r="H186">
        <v>5</v>
      </c>
      <c r="I186">
        <v>0</v>
      </c>
      <c r="J186">
        <v>5</v>
      </c>
      <c r="K186">
        <v>428</v>
      </c>
      <c r="L186">
        <v>0</v>
      </c>
    </row>
    <row r="187" spans="1:12" x14ac:dyDescent="0.3">
      <c r="A187" t="s">
        <v>378</v>
      </c>
      <c r="B187">
        <v>3</v>
      </c>
      <c r="C187">
        <v>2</v>
      </c>
      <c r="D187" t="s">
        <v>194</v>
      </c>
      <c r="E187">
        <v>4.4839000000000002</v>
      </c>
      <c r="F187">
        <v>1</v>
      </c>
      <c r="G187">
        <v>5</v>
      </c>
      <c r="H187">
        <v>5</v>
      </c>
      <c r="I187">
        <v>0</v>
      </c>
      <c r="J187">
        <v>5</v>
      </c>
      <c r="K187">
        <v>428</v>
      </c>
      <c r="L187">
        <v>0</v>
      </c>
    </row>
    <row r="188" spans="1:12" x14ac:dyDescent="0.3">
      <c r="A188" t="s">
        <v>379</v>
      </c>
      <c r="B188">
        <v>3</v>
      </c>
      <c r="C188">
        <v>2</v>
      </c>
      <c r="D188" t="s">
        <v>194</v>
      </c>
      <c r="E188">
        <v>4.4839000000000002</v>
      </c>
      <c r="F188">
        <v>1</v>
      </c>
      <c r="G188">
        <v>5</v>
      </c>
      <c r="H188">
        <v>5</v>
      </c>
      <c r="I188">
        <v>0</v>
      </c>
      <c r="J188">
        <v>5</v>
      </c>
      <c r="K188">
        <v>428</v>
      </c>
      <c r="L188">
        <v>0</v>
      </c>
    </row>
    <row r="189" spans="1:12" x14ac:dyDescent="0.3">
      <c r="A189" t="s">
        <v>380</v>
      </c>
      <c r="B189">
        <v>3</v>
      </c>
      <c r="C189">
        <v>2</v>
      </c>
      <c r="D189" t="s">
        <v>194</v>
      </c>
      <c r="E189">
        <v>4.2935999999999996</v>
      </c>
      <c r="F189">
        <v>1</v>
      </c>
      <c r="G189">
        <v>5</v>
      </c>
      <c r="H189">
        <v>5</v>
      </c>
      <c r="I189">
        <v>0</v>
      </c>
      <c r="J189">
        <v>5</v>
      </c>
      <c r="K189">
        <v>428</v>
      </c>
      <c r="L189">
        <v>0</v>
      </c>
    </row>
    <row r="190" spans="1:12" x14ac:dyDescent="0.3">
      <c r="A190" t="s">
        <v>381</v>
      </c>
      <c r="B190">
        <v>3</v>
      </c>
      <c r="C190">
        <v>2</v>
      </c>
      <c r="D190" t="s">
        <v>194</v>
      </c>
      <c r="E190">
        <v>4.2935999999999996</v>
      </c>
      <c r="F190">
        <v>1</v>
      </c>
      <c r="G190">
        <v>5</v>
      </c>
      <c r="H190">
        <v>5</v>
      </c>
      <c r="I190">
        <v>0</v>
      </c>
      <c r="J190">
        <v>5</v>
      </c>
      <c r="K190">
        <v>428</v>
      </c>
      <c r="L190">
        <v>0</v>
      </c>
    </row>
    <row r="191" spans="1:12" x14ac:dyDescent="0.3">
      <c r="A191" t="s">
        <v>382</v>
      </c>
      <c r="B191">
        <v>3</v>
      </c>
      <c r="C191">
        <v>2</v>
      </c>
      <c r="D191" t="s">
        <v>194</v>
      </c>
      <c r="E191">
        <v>4.2935999999999996</v>
      </c>
      <c r="F191">
        <v>1</v>
      </c>
      <c r="G191">
        <v>5</v>
      </c>
      <c r="H191">
        <v>5</v>
      </c>
      <c r="I191">
        <v>0</v>
      </c>
      <c r="J191">
        <v>5</v>
      </c>
      <c r="K191">
        <v>428</v>
      </c>
      <c r="L191">
        <v>0</v>
      </c>
    </row>
    <row r="192" spans="1:12" x14ac:dyDescent="0.3">
      <c r="A192" t="s">
        <v>383</v>
      </c>
      <c r="B192">
        <v>3</v>
      </c>
      <c r="C192">
        <v>2</v>
      </c>
      <c r="D192" t="s">
        <v>194</v>
      </c>
      <c r="E192">
        <v>4.2935999999999996</v>
      </c>
      <c r="F192">
        <v>1</v>
      </c>
      <c r="G192">
        <v>5</v>
      </c>
      <c r="H192">
        <v>5</v>
      </c>
      <c r="I192">
        <v>0</v>
      </c>
      <c r="J192">
        <v>5</v>
      </c>
      <c r="K192">
        <v>428</v>
      </c>
      <c r="L192">
        <v>0</v>
      </c>
    </row>
    <row r="193" spans="1:12" x14ac:dyDescent="0.3">
      <c r="A193" t="s">
        <v>384</v>
      </c>
      <c r="B193">
        <v>3</v>
      </c>
      <c r="C193">
        <v>2</v>
      </c>
      <c r="D193" t="s">
        <v>194</v>
      </c>
      <c r="E193">
        <v>4.4839000000000002</v>
      </c>
      <c r="F193">
        <v>1</v>
      </c>
      <c r="G193">
        <v>5</v>
      </c>
      <c r="H193">
        <v>5</v>
      </c>
      <c r="I193">
        <v>0</v>
      </c>
      <c r="J193">
        <v>5</v>
      </c>
      <c r="K193">
        <v>428</v>
      </c>
      <c r="L193">
        <v>0</v>
      </c>
    </row>
    <row r="194" spans="1:12" x14ac:dyDescent="0.3">
      <c r="A194" t="s">
        <v>385</v>
      </c>
      <c r="B194">
        <v>3</v>
      </c>
      <c r="C194">
        <v>2</v>
      </c>
      <c r="D194" t="s">
        <v>194</v>
      </c>
      <c r="E194">
        <v>4.2935999999999996</v>
      </c>
      <c r="F194">
        <v>1</v>
      </c>
      <c r="G194">
        <v>5</v>
      </c>
      <c r="H194">
        <v>5</v>
      </c>
      <c r="I194">
        <v>0</v>
      </c>
      <c r="J194">
        <v>5</v>
      </c>
      <c r="K194">
        <v>428</v>
      </c>
      <c r="L194">
        <v>0</v>
      </c>
    </row>
    <row r="195" spans="1:12" x14ac:dyDescent="0.3">
      <c r="A195" t="s">
        <v>386</v>
      </c>
      <c r="B195">
        <v>3</v>
      </c>
      <c r="C195">
        <v>2</v>
      </c>
      <c r="D195" t="s">
        <v>194</v>
      </c>
      <c r="E195">
        <v>4.2935999999999996</v>
      </c>
      <c r="F195">
        <v>1</v>
      </c>
      <c r="G195">
        <v>5</v>
      </c>
      <c r="H195">
        <v>5</v>
      </c>
      <c r="I195">
        <v>0</v>
      </c>
      <c r="J195">
        <v>5</v>
      </c>
      <c r="K195">
        <v>428</v>
      </c>
      <c r="L195">
        <v>0</v>
      </c>
    </row>
    <row r="196" spans="1:12" x14ac:dyDescent="0.3">
      <c r="A196" t="s">
        <v>387</v>
      </c>
      <c r="B196">
        <v>3</v>
      </c>
      <c r="C196">
        <v>2</v>
      </c>
      <c r="D196" t="s">
        <v>194</v>
      </c>
      <c r="E196">
        <v>4.2935999999999996</v>
      </c>
      <c r="F196">
        <v>1</v>
      </c>
      <c r="G196">
        <v>5</v>
      </c>
      <c r="H196">
        <v>5</v>
      </c>
      <c r="I196">
        <v>0</v>
      </c>
      <c r="J196">
        <v>5</v>
      </c>
      <c r="K196">
        <v>428</v>
      </c>
      <c r="L196">
        <v>0</v>
      </c>
    </row>
    <row r="197" spans="1:12" x14ac:dyDescent="0.3">
      <c r="A197" t="s">
        <v>388</v>
      </c>
      <c r="B197">
        <v>3</v>
      </c>
      <c r="C197">
        <v>2</v>
      </c>
      <c r="D197" t="s">
        <v>194</v>
      </c>
      <c r="E197">
        <v>4.2935999999999996</v>
      </c>
      <c r="F197">
        <v>1</v>
      </c>
      <c r="G197">
        <v>5</v>
      </c>
      <c r="H197">
        <v>5</v>
      </c>
      <c r="I197">
        <v>0</v>
      </c>
      <c r="J197">
        <v>5</v>
      </c>
      <c r="K197">
        <v>428</v>
      </c>
      <c r="L197">
        <v>0</v>
      </c>
    </row>
    <row r="198" spans="1:12" x14ac:dyDescent="0.3">
      <c r="A198" t="s">
        <v>389</v>
      </c>
      <c r="B198">
        <v>3</v>
      </c>
      <c r="C198">
        <v>2</v>
      </c>
      <c r="D198" t="s">
        <v>194</v>
      </c>
      <c r="E198">
        <v>4.2935999999999996</v>
      </c>
      <c r="F198">
        <v>1</v>
      </c>
      <c r="G198">
        <v>5</v>
      </c>
      <c r="H198">
        <v>5</v>
      </c>
      <c r="I198">
        <v>0</v>
      </c>
      <c r="J198">
        <v>5</v>
      </c>
      <c r="K198">
        <v>428</v>
      </c>
      <c r="L198">
        <v>0</v>
      </c>
    </row>
    <row r="199" spans="1:12" x14ac:dyDescent="0.3">
      <c r="A199" t="s">
        <v>390</v>
      </c>
      <c r="B199">
        <v>3</v>
      </c>
      <c r="C199">
        <v>2</v>
      </c>
      <c r="D199" t="s">
        <v>194</v>
      </c>
      <c r="E199">
        <v>4.2935999999999996</v>
      </c>
      <c r="F199">
        <v>1</v>
      </c>
      <c r="G199">
        <v>5</v>
      </c>
      <c r="H199">
        <v>5</v>
      </c>
      <c r="I199">
        <v>0</v>
      </c>
      <c r="J199">
        <v>5</v>
      </c>
      <c r="K199">
        <v>428</v>
      </c>
      <c r="L199">
        <v>0</v>
      </c>
    </row>
    <row r="200" spans="1:12" x14ac:dyDescent="0.3">
      <c r="A200" t="s">
        <v>391</v>
      </c>
      <c r="B200">
        <v>3</v>
      </c>
      <c r="C200">
        <v>2</v>
      </c>
      <c r="D200" t="s">
        <v>194</v>
      </c>
      <c r="E200">
        <v>5.9950000000000001</v>
      </c>
      <c r="F200">
        <v>1</v>
      </c>
      <c r="G200">
        <v>5</v>
      </c>
      <c r="H200">
        <v>5</v>
      </c>
      <c r="I200">
        <v>0</v>
      </c>
      <c r="J200">
        <v>9</v>
      </c>
      <c r="K200">
        <v>429</v>
      </c>
      <c r="L200">
        <v>0</v>
      </c>
    </row>
    <row r="201" spans="1:12" x14ac:dyDescent="0.3">
      <c r="A201" t="s">
        <v>392</v>
      </c>
      <c r="B201">
        <v>3</v>
      </c>
      <c r="C201">
        <v>2</v>
      </c>
      <c r="D201" t="s">
        <v>194</v>
      </c>
      <c r="E201">
        <v>4.2935999999999996</v>
      </c>
      <c r="F201">
        <v>1</v>
      </c>
      <c r="G201">
        <v>5</v>
      </c>
      <c r="H201">
        <v>5</v>
      </c>
      <c r="I201">
        <v>0</v>
      </c>
      <c r="J201">
        <v>5</v>
      </c>
      <c r="K201">
        <v>428</v>
      </c>
      <c r="L201">
        <v>0</v>
      </c>
    </row>
    <row r="202" spans="1:12" x14ac:dyDescent="0.3">
      <c r="A202" t="s">
        <v>393</v>
      </c>
      <c r="B202">
        <v>3</v>
      </c>
      <c r="C202">
        <v>2</v>
      </c>
      <c r="D202" t="s">
        <v>194</v>
      </c>
      <c r="E202">
        <v>4.2935999999999996</v>
      </c>
      <c r="F202">
        <v>1</v>
      </c>
      <c r="G202">
        <v>5</v>
      </c>
      <c r="H202">
        <v>5</v>
      </c>
      <c r="I202">
        <v>0</v>
      </c>
      <c r="J202">
        <v>5</v>
      </c>
      <c r="K202">
        <v>428</v>
      </c>
      <c r="L202">
        <v>0</v>
      </c>
    </row>
    <row r="203" spans="1:12" x14ac:dyDescent="0.3">
      <c r="A203" t="s">
        <v>394</v>
      </c>
      <c r="B203">
        <v>3</v>
      </c>
      <c r="C203">
        <v>2</v>
      </c>
      <c r="D203" t="s">
        <v>194</v>
      </c>
      <c r="E203">
        <v>4.2935999999999996</v>
      </c>
      <c r="F203">
        <v>1</v>
      </c>
      <c r="G203">
        <v>5</v>
      </c>
      <c r="H203">
        <v>5</v>
      </c>
      <c r="I203">
        <v>0</v>
      </c>
      <c r="J203">
        <v>5</v>
      </c>
      <c r="K203">
        <v>428</v>
      </c>
      <c r="L203">
        <v>0</v>
      </c>
    </row>
    <row r="204" spans="1:12" x14ac:dyDescent="0.3">
      <c r="A204" t="s">
        <v>395</v>
      </c>
      <c r="B204">
        <v>3</v>
      </c>
      <c r="C204">
        <v>2</v>
      </c>
      <c r="D204" t="s">
        <v>194</v>
      </c>
      <c r="E204">
        <v>4.2935999999999996</v>
      </c>
      <c r="F204">
        <v>1</v>
      </c>
      <c r="G204">
        <v>5</v>
      </c>
      <c r="H204">
        <v>5</v>
      </c>
      <c r="I204">
        <v>0</v>
      </c>
      <c r="J204">
        <v>5</v>
      </c>
      <c r="K204">
        <v>428</v>
      </c>
      <c r="L204">
        <v>0</v>
      </c>
    </row>
    <row r="205" spans="1:12" x14ac:dyDescent="0.3">
      <c r="A205" t="s">
        <v>396</v>
      </c>
      <c r="B205">
        <v>3</v>
      </c>
      <c r="C205">
        <v>2</v>
      </c>
      <c r="D205" t="s">
        <v>194</v>
      </c>
      <c r="E205">
        <v>4.2935999999999996</v>
      </c>
      <c r="F205">
        <v>1</v>
      </c>
      <c r="G205">
        <v>5</v>
      </c>
      <c r="H205">
        <v>5</v>
      </c>
      <c r="I205">
        <v>0</v>
      </c>
      <c r="J205">
        <v>5</v>
      </c>
      <c r="K205">
        <v>428</v>
      </c>
      <c r="L205">
        <v>0</v>
      </c>
    </row>
    <row r="206" spans="1:12" x14ac:dyDescent="0.3">
      <c r="A206" t="s">
        <v>397</v>
      </c>
      <c r="B206">
        <v>3</v>
      </c>
      <c r="C206">
        <v>2</v>
      </c>
      <c r="D206" t="s">
        <v>194</v>
      </c>
      <c r="E206">
        <v>4.4839000000000002</v>
      </c>
      <c r="F206">
        <v>1</v>
      </c>
      <c r="G206">
        <v>5</v>
      </c>
      <c r="H206">
        <v>5</v>
      </c>
      <c r="I206">
        <v>0</v>
      </c>
      <c r="J206">
        <v>5</v>
      </c>
      <c r="K206">
        <v>428</v>
      </c>
      <c r="L206">
        <v>0</v>
      </c>
    </row>
    <row r="207" spans="1:12" x14ac:dyDescent="0.3">
      <c r="A207" t="s">
        <v>398</v>
      </c>
      <c r="B207">
        <v>3</v>
      </c>
      <c r="C207">
        <v>2</v>
      </c>
      <c r="D207" t="s">
        <v>194</v>
      </c>
      <c r="E207">
        <v>4.2935999999999996</v>
      </c>
      <c r="F207">
        <v>1</v>
      </c>
      <c r="G207">
        <v>5</v>
      </c>
      <c r="H207">
        <v>5</v>
      </c>
      <c r="I207">
        <v>0</v>
      </c>
      <c r="J207">
        <v>5</v>
      </c>
      <c r="K207">
        <v>428</v>
      </c>
      <c r="L207">
        <v>0</v>
      </c>
    </row>
    <row r="208" spans="1:12" x14ac:dyDescent="0.3">
      <c r="A208" t="s">
        <v>399</v>
      </c>
      <c r="B208">
        <v>3</v>
      </c>
      <c r="C208">
        <v>2</v>
      </c>
      <c r="D208" t="s">
        <v>194</v>
      </c>
      <c r="E208">
        <v>4.2935999999999996</v>
      </c>
      <c r="F208">
        <v>1</v>
      </c>
      <c r="G208">
        <v>5</v>
      </c>
      <c r="H208">
        <v>5</v>
      </c>
      <c r="I208">
        <v>0</v>
      </c>
      <c r="J208">
        <v>5</v>
      </c>
      <c r="K208">
        <v>428</v>
      </c>
      <c r="L208">
        <v>0</v>
      </c>
    </row>
    <row r="209" spans="1:12" x14ac:dyDescent="0.3">
      <c r="A209" t="s">
        <v>400</v>
      </c>
      <c r="B209">
        <v>3</v>
      </c>
      <c r="C209">
        <v>2</v>
      </c>
      <c r="D209" t="s">
        <v>194</v>
      </c>
      <c r="E209">
        <v>6.24</v>
      </c>
      <c r="F209">
        <v>1</v>
      </c>
      <c r="G209">
        <v>5</v>
      </c>
      <c r="H209">
        <v>5</v>
      </c>
      <c r="I209">
        <v>0</v>
      </c>
      <c r="J209">
        <v>9</v>
      </c>
      <c r="K209">
        <v>1123</v>
      </c>
      <c r="L209">
        <v>60</v>
      </c>
    </row>
    <row r="210" spans="1:12" x14ac:dyDescent="0.3">
      <c r="A210" t="s">
        <v>401</v>
      </c>
      <c r="B210">
        <v>3</v>
      </c>
      <c r="C210">
        <v>2</v>
      </c>
      <c r="D210" t="s">
        <v>194</v>
      </c>
      <c r="E210">
        <v>4.2935999999999996</v>
      </c>
      <c r="F210">
        <v>1</v>
      </c>
      <c r="G210">
        <v>5</v>
      </c>
      <c r="H210">
        <v>5</v>
      </c>
      <c r="I210">
        <v>0</v>
      </c>
      <c r="J210">
        <v>5</v>
      </c>
      <c r="K210">
        <v>428</v>
      </c>
      <c r="L210">
        <v>0</v>
      </c>
    </row>
    <row r="211" spans="1:12" x14ac:dyDescent="0.3">
      <c r="A211" t="s">
        <v>402</v>
      </c>
      <c r="B211">
        <v>3</v>
      </c>
      <c r="C211">
        <v>2</v>
      </c>
      <c r="D211" t="s">
        <v>194</v>
      </c>
      <c r="E211">
        <v>4.2935999999999996</v>
      </c>
      <c r="F211">
        <v>1</v>
      </c>
      <c r="G211">
        <v>5</v>
      </c>
      <c r="H211">
        <v>5</v>
      </c>
      <c r="I211">
        <v>0</v>
      </c>
      <c r="J211">
        <v>5</v>
      </c>
      <c r="K211">
        <v>428</v>
      </c>
      <c r="L211">
        <v>0</v>
      </c>
    </row>
    <row r="212" spans="1:12" x14ac:dyDescent="0.3">
      <c r="A212" t="s">
        <v>403</v>
      </c>
      <c r="B212">
        <v>3</v>
      </c>
      <c r="C212">
        <v>2</v>
      </c>
      <c r="D212" t="s">
        <v>194</v>
      </c>
      <c r="E212">
        <v>4.2935999999999996</v>
      </c>
      <c r="F212">
        <v>1</v>
      </c>
      <c r="G212">
        <v>5</v>
      </c>
      <c r="H212">
        <v>5</v>
      </c>
      <c r="I212">
        <v>0</v>
      </c>
      <c r="J212">
        <v>5</v>
      </c>
      <c r="K212">
        <v>428</v>
      </c>
      <c r="L212">
        <v>0</v>
      </c>
    </row>
    <row r="213" spans="1:12" x14ac:dyDescent="0.3">
      <c r="A213" t="s">
        <v>404</v>
      </c>
      <c r="B213">
        <v>3</v>
      </c>
      <c r="C213">
        <v>2</v>
      </c>
      <c r="D213" t="s">
        <v>194</v>
      </c>
      <c r="E213">
        <v>2.5632000000000001</v>
      </c>
      <c r="F213">
        <v>1</v>
      </c>
      <c r="G213">
        <v>5</v>
      </c>
      <c r="H213">
        <v>5</v>
      </c>
      <c r="I213">
        <v>0</v>
      </c>
      <c r="J213">
        <v>6</v>
      </c>
      <c r="K213">
        <v>428</v>
      </c>
      <c r="L213">
        <v>0</v>
      </c>
    </row>
    <row r="214" spans="1:12" x14ac:dyDescent="0.3">
      <c r="A214" t="s">
        <v>405</v>
      </c>
      <c r="B214">
        <v>3</v>
      </c>
      <c r="C214">
        <v>2</v>
      </c>
      <c r="D214" t="s">
        <v>194</v>
      </c>
      <c r="E214">
        <v>4.4839000000000002</v>
      </c>
      <c r="F214">
        <v>1</v>
      </c>
      <c r="G214">
        <v>5</v>
      </c>
      <c r="H214">
        <v>5</v>
      </c>
      <c r="I214">
        <v>0</v>
      </c>
      <c r="J214">
        <v>5</v>
      </c>
      <c r="K214">
        <v>428</v>
      </c>
      <c r="L214">
        <v>0</v>
      </c>
    </row>
    <row r="215" spans="1:12" x14ac:dyDescent="0.3">
      <c r="A215" t="s">
        <v>406</v>
      </c>
      <c r="B215">
        <v>3</v>
      </c>
      <c r="C215">
        <v>2</v>
      </c>
      <c r="D215" t="s">
        <v>194</v>
      </c>
      <c r="E215">
        <v>4.2950999999999997</v>
      </c>
      <c r="F215">
        <v>1</v>
      </c>
      <c r="G215">
        <v>5</v>
      </c>
      <c r="H215">
        <v>5</v>
      </c>
      <c r="I215">
        <v>0</v>
      </c>
      <c r="J215">
        <v>5</v>
      </c>
      <c r="K215">
        <v>428</v>
      </c>
      <c r="L215">
        <v>0</v>
      </c>
    </row>
    <row r="216" spans="1:12" x14ac:dyDescent="0.3">
      <c r="A216" t="s">
        <v>407</v>
      </c>
      <c r="B216">
        <v>3</v>
      </c>
      <c r="C216">
        <v>2</v>
      </c>
      <c r="D216" t="s">
        <v>194</v>
      </c>
      <c r="E216">
        <v>4.2935999999999996</v>
      </c>
      <c r="F216">
        <v>1</v>
      </c>
      <c r="G216">
        <v>5</v>
      </c>
      <c r="H216">
        <v>5</v>
      </c>
      <c r="I216">
        <v>0</v>
      </c>
      <c r="J216">
        <v>5</v>
      </c>
      <c r="K216">
        <v>428</v>
      </c>
      <c r="L216">
        <v>0</v>
      </c>
    </row>
    <row r="217" spans="1:12" x14ac:dyDescent="0.3">
      <c r="A217" t="s">
        <v>408</v>
      </c>
      <c r="B217">
        <v>3</v>
      </c>
      <c r="C217">
        <v>2</v>
      </c>
      <c r="D217" t="s">
        <v>194</v>
      </c>
      <c r="E217">
        <v>4.4839000000000002</v>
      </c>
      <c r="F217">
        <v>1</v>
      </c>
      <c r="G217">
        <v>5</v>
      </c>
      <c r="H217">
        <v>5</v>
      </c>
      <c r="I217">
        <v>0</v>
      </c>
      <c r="J217">
        <v>5</v>
      </c>
      <c r="K217">
        <v>428</v>
      </c>
      <c r="L217">
        <v>0</v>
      </c>
    </row>
    <row r="218" spans="1:12" x14ac:dyDescent="0.3">
      <c r="A218" t="s">
        <v>409</v>
      </c>
      <c r="B218">
        <v>3</v>
      </c>
      <c r="C218">
        <v>2</v>
      </c>
      <c r="D218" t="s">
        <v>194</v>
      </c>
      <c r="E218">
        <v>4.2935999999999996</v>
      </c>
      <c r="F218">
        <v>1</v>
      </c>
      <c r="G218">
        <v>5</v>
      </c>
      <c r="H218">
        <v>5</v>
      </c>
      <c r="I218">
        <v>0</v>
      </c>
      <c r="J218">
        <v>5</v>
      </c>
      <c r="K218">
        <v>428</v>
      </c>
      <c r="L218">
        <v>0</v>
      </c>
    </row>
    <row r="219" spans="1:12" x14ac:dyDescent="0.3">
      <c r="A219" t="s">
        <v>410</v>
      </c>
      <c r="B219">
        <v>3</v>
      </c>
      <c r="C219">
        <v>2</v>
      </c>
      <c r="D219" t="s">
        <v>194</v>
      </c>
      <c r="E219">
        <v>4.2935999999999996</v>
      </c>
      <c r="F219">
        <v>1</v>
      </c>
      <c r="G219">
        <v>5</v>
      </c>
      <c r="H219">
        <v>5</v>
      </c>
      <c r="I219">
        <v>0</v>
      </c>
      <c r="J219">
        <v>5</v>
      </c>
      <c r="K219">
        <v>428</v>
      </c>
      <c r="L219">
        <v>0</v>
      </c>
    </row>
    <row r="220" spans="1:12" x14ac:dyDescent="0.3">
      <c r="A220" t="s">
        <v>411</v>
      </c>
      <c r="B220">
        <v>3</v>
      </c>
      <c r="C220">
        <v>2</v>
      </c>
      <c r="D220" t="s">
        <v>194</v>
      </c>
      <c r="E220">
        <v>4.2935999999999996</v>
      </c>
      <c r="F220">
        <v>1</v>
      </c>
      <c r="G220">
        <v>5</v>
      </c>
      <c r="H220">
        <v>5</v>
      </c>
      <c r="I220">
        <v>0</v>
      </c>
      <c r="J220">
        <v>5</v>
      </c>
      <c r="K220">
        <v>428</v>
      </c>
      <c r="L220">
        <v>0</v>
      </c>
    </row>
    <row r="221" spans="1:12" x14ac:dyDescent="0.3">
      <c r="A221" t="s">
        <v>412</v>
      </c>
      <c r="B221">
        <v>3</v>
      </c>
      <c r="C221">
        <v>2</v>
      </c>
      <c r="D221" t="s">
        <v>194</v>
      </c>
      <c r="E221">
        <v>4.2935999999999996</v>
      </c>
      <c r="F221">
        <v>1</v>
      </c>
      <c r="G221">
        <v>5</v>
      </c>
      <c r="H221">
        <v>5</v>
      </c>
      <c r="I221">
        <v>0</v>
      </c>
      <c r="J221">
        <v>5</v>
      </c>
      <c r="K221">
        <v>428</v>
      </c>
      <c r="L221">
        <v>0</v>
      </c>
    </row>
    <row r="222" spans="1:12" x14ac:dyDescent="0.3">
      <c r="A222" t="s">
        <v>413</v>
      </c>
      <c r="B222">
        <v>3</v>
      </c>
      <c r="C222">
        <v>2</v>
      </c>
      <c r="D222" t="s">
        <v>194</v>
      </c>
      <c r="E222">
        <v>4.2935999999999996</v>
      </c>
      <c r="F222">
        <v>1</v>
      </c>
      <c r="G222">
        <v>5</v>
      </c>
      <c r="H222">
        <v>5</v>
      </c>
      <c r="I222">
        <v>0</v>
      </c>
      <c r="J222">
        <v>5</v>
      </c>
      <c r="K222">
        <v>428</v>
      </c>
      <c r="L222">
        <v>0</v>
      </c>
    </row>
    <row r="223" spans="1:12" x14ac:dyDescent="0.3">
      <c r="A223" t="s">
        <v>414</v>
      </c>
      <c r="B223">
        <v>3</v>
      </c>
      <c r="C223">
        <v>2</v>
      </c>
      <c r="D223" t="s">
        <v>194</v>
      </c>
      <c r="E223">
        <v>4.2935999999999996</v>
      </c>
      <c r="F223">
        <v>1</v>
      </c>
      <c r="G223">
        <v>5</v>
      </c>
      <c r="H223">
        <v>5</v>
      </c>
      <c r="I223">
        <v>0</v>
      </c>
      <c r="J223">
        <v>5</v>
      </c>
      <c r="K223">
        <v>428</v>
      </c>
      <c r="L223">
        <v>0</v>
      </c>
    </row>
    <row r="224" spans="1:12" x14ac:dyDescent="0.3">
      <c r="A224" t="s">
        <v>415</v>
      </c>
      <c r="B224">
        <v>3</v>
      </c>
      <c r="C224">
        <v>2</v>
      </c>
      <c r="D224" t="s">
        <v>194</v>
      </c>
      <c r="E224">
        <v>7.4882999999999997</v>
      </c>
      <c r="F224">
        <v>1</v>
      </c>
      <c r="G224">
        <v>5</v>
      </c>
      <c r="H224">
        <v>5</v>
      </c>
      <c r="I224">
        <v>0</v>
      </c>
      <c r="J224">
        <v>9</v>
      </c>
      <c r="K224">
        <v>679</v>
      </c>
      <c r="L224">
        <v>0</v>
      </c>
    </row>
    <row r="225" spans="1:12" x14ac:dyDescent="0.3">
      <c r="A225" t="s">
        <v>416</v>
      </c>
      <c r="B225">
        <v>3</v>
      </c>
      <c r="C225">
        <v>2</v>
      </c>
      <c r="D225" t="s">
        <v>194</v>
      </c>
      <c r="E225">
        <v>4.2935999999999996</v>
      </c>
      <c r="F225">
        <v>1</v>
      </c>
      <c r="G225">
        <v>5</v>
      </c>
      <c r="H225">
        <v>5</v>
      </c>
      <c r="I225">
        <v>0</v>
      </c>
      <c r="J225">
        <v>5</v>
      </c>
      <c r="K225">
        <v>428</v>
      </c>
      <c r="L225">
        <v>0</v>
      </c>
    </row>
    <row r="226" spans="1:12" x14ac:dyDescent="0.3">
      <c r="A226" t="s">
        <v>417</v>
      </c>
      <c r="B226">
        <v>3</v>
      </c>
      <c r="C226">
        <v>2</v>
      </c>
      <c r="D226" t="s">
        <v>194</v>
      </c>
      <c r="E226">
        <v>4.2935999999999996</v>
      </c>
      <c r="F226">
        <v>1</v>
      </c>
      <c r="G226">
        <v>5</v>
      </c>
      <c r="H226">
        <v>5</v>
      </c>
      <c r="I226">
        <v>0</v>
      </c>
      <c r="J226">
        <v>5</v>
      </c>
      <c r="K226">
        <v>428</v>
      </c>
      <c r="L226">
        <v>0</v>
      </c>
    </row>
    <row r="227" spans="1:12" x14ac:dyDescent="0.3">
      <c r="A227" t="s">
        <v>418</v>
      </c>
      <c r="B227">
        <v>3</v>
      </c>
      <c r="C227">
        <v>2</v>
      </c>
      <c r="D227" t="s">
        <v>194</v>
      </c>
      <c r="E227">
        <v>4.2935999999999996</v>
      </c>
      <c r="F227">
        <v>1</v>
      </c>
      <c r="G227">
        <v>5</v>
      </c>
      <c r="H227">
        <v>5</v>
      </c>
      <c r="I227">
        <v>0</v>
      </c>
      <c r="J227">
        <v>5</v>
      </c>
      <c r="K227">
        <v>428</v>
      </c>
      <c r="L227">
        <v>0</v>
      </c>
    </row>
    <row r="228" spans="1:12" x14ac:dyDescent="0.3">
      <c r="A228" t="s">
        <v>419</v>
      </c>
      <c r="B228">
        <v>3</v>
      </c>
      <c r="C228">
        <v>2</v>
      </c>
      <c r="D228" t="s">
        <v>194</v>
      </c>
      <c r="E228">
        <v>6.24</v>
      </c>
      <c r="F228">
        <v>1</v>
      </c>
      <c r="G228">
        <v>5</v>
      </c>
      <c r="H228">
        <v>5</v>
      </c>
      <c r="I228">
        <v>0</v>
      </c>
      <c r="J228">
        <v>9</v>
      </c>
      <c r="K228">
        <v>1123</v>
      </c>
      <c r="L228">
        <v>60</v>
      </c>
    </row>
    <row r="229" spans="1:12" x14ac:dyDescent="0.3">
      <c r="A229" t="s">
        <v>420</v>
      </c>
      <c r="B229">
        <v>3</v>
      </c>
      <c r="C229">
        <v>2</v>
      </c>
      <c r="D229" t="s">
        <v>194</v>
      </c>
      <c r="E229">
        <v>4.2935999999999996</v>
      </c>
      <c r="F229">
        <v>1</v>
      </c>
      <c r="G229">
        <v>5</v>
      </c>
      <c r="H229">
        <v>5</v>
      </c>
      <c r="I229">
        <v>0</v>
      </c>
      <c r="J229">
        <v>5</v>
      </c>
      <c r="K229">
        <v>428</v>
      </c>
      <c r="L229">
        <v>0</v>
      </c>
    </row>
    <row r="230" spans="1:12" x14ac:dyDescent="0.3">
      <c r="A230" t="s">
        <v>421</v>
      </c>
      <c r="B230">
        <v>3</v>
      </c>
      <c r="C230">
        <v>2</v>
      </c>
      <c r="D230" t="s">
        <v>194</v>
      </c>
      <c r="E230">
        <v>4.2935999999999996</v>
      </c>
      <c r="F230">
        <v>1</v>
      </c>
      <c r="G230">
        <v>5</v>
      </c>
      <c r="H230">
        <v>5</v>
      </c>
      <c r="I230">
        <v>0</v>
      </c>
      <c r="J230">
        <v>5</v>
      </c>
      <c r="K230">
        <v>428</v>
      </c>
      <c r="L230">
        <v>0</v>
      </c>
    </row>
    <row r="231" spans="1:12" x14ac:dyDescent="0.3">
      <c r="A231" t="s">
        <v>422</v>
      </c>
      <c r="B231">
        <v>3</v>
      </c>
      <c r="C231">
        <v>2</v>
      </c>
      <c r="D231" t="s">
        <v>194</v>
      </c>
      <c r="E231">
        <v>4.2935999999999996</v>
      </c>
      <c r="F231">
        <v>1</v>
      </c>
      <c r="G231">
        <v>5</v>
      </c>
      <c r="H231">
        <v>5</v>
      </c>
      <c r="I231">
        <v>0</v>
      </c>
      <c r="J231">
        <v>5</v>
      </c>
      <c r="K231">
        <v>428</v>
      </c>
      <c r="L231">
        <v>0</v>
      </c>
    </row>
    <row r="232" spans="1:12" x14ac:dyDescent="0.3">
      <c r="A232" t="s">
        <v>423</v>
      </c>
      <c r="B232">
        <v>3</v>
      </c>
      <c r="C232">
        <v>2</v>
      </c>
      <c r="D232" t="s">
        <v>194</v>
      </c>
      <c r="E232">
        <v>4.2935999999999996</v>
      </c>
      <c r="F232">
        <v>1</v>
      </c>
      <c r="G232">
        <v>5</v>
      </c>
      <c r="H232">
        <v>5</v>
      </c>
      <c r="I232">
        <v>0</v>
      </c>
      <c r="J232">
        <v>5</v>
      </c>
      <c r="K232">
        <v>428</v>
      </c>
      <c r="L232">
        <v>0</v>
      </c>
    </row>
    <row r="233" spans="1:12" x14ac:dyDescent="0.3">
      <c r="A233" t="s">
        <v>424</v>
      </c>
      <c r="B233">
        <v>3</v>
      </c>
      <c r="C233">
        <v>2</v>
      </c>
      <c r="D233" t="s">
        <v>194</v>
      </c>
      <c r="E233">
        <v>4.2935999999999996</v>
      </c>
      <c r="F233">
        <v>1</v>
      </c>
      <c r="G233">
        <v>5</v>
      </c>
      <c r="H233">
        <v>5</v>
      </c>
      <c r="I233">
        <v>0</v>
      </c>
      <c r="J233">
        <v>5</v>
      </c>
      <c r="K233">
        <v>428</v>
      </c>
      <c r="L233">
        <v>0</v>
      </c>
    </row>
    <row r="234" spans="1:12" x14ac:dyDescent="0.3">
      <c r="A234" t="s">
        <v>425</v>
      </c>
      <c r="B234">
        <v>3</v>
      </c>
      <c r="C234">
        <v>2</v>
      </c>
      <c r="D234" t="s">
        <v>194</v>
      </c>
      <c r="E234">
        <v>5.9950000000000001</v>
      </c>
      <c r="F234">
        <v>1</v>
      </c>
      <c r="G234">
        <v>5</v>
      </c>
      <c r="H234">
        <v>5</v>
      </c>
      <c r="I234">
        <v>0</v>
      </c>
      <c r="J234">
        <v>9</v>
      </c>
      <c r="K234">
        <v>429</v>
      </c>
      <c r="L234">
        <v>0</v>
      </c>
    </row>
    <row r="235" spans="1:12" x14ac:dyDescent="0.3">
      <c r="A235" t="s">
        <v>426</v>
      </c>
      <c r="B235">
        <v>3</v>
      </c>
      <c r="C235">
        <v>2</v>
      </c>
      <c r="D235" t="s">
        <v>194</v>
      </c>
      <c r="E235">
        <v>5.9950000000000001</v>
      </c>
      <c r="F235">
        <v>1</v>
      </c>
      <c r="G235">
        <v>5</v>
      </c>
      <c r="H235">
        <v>5</v>
      </c>
      <c r="I235">
        <v>0</v>
      </c>
      <c r="J235">
        <v>9</v>
      </c>
      <c r="K235">
        <v>429</v>
      </c>
      <c r="L235">
        <v>0</v>
      </c>
    </row>
    <row r="236" spans="1:12" x14ac:dyDescent="0.3">
      <c r="A236" t="s">
        <v>427</v>
      </c>
      <c r="B236">
        <v>3</v>
      </c>
      <c r="C236">
        <v>2</v>
      </c>
      <c r="D236" t="s">
        <v>194</v>
      </c>
      <c r="E236">
        <v>5.9950000000000001</v>
      </c>
      <c r="F236">
        <v>1</v>
      </c>
      <c r="G236">
        <v>5</v>
      </c>
      <c r="H236">
        <v>5</v>
      </c>
      <c r="I236">
        <v>0</v>
      </c>
      <c r="J236">
        <v>9</v>
      </c>
      <c r="K236">
        <v>429</v>
      </c>
      <c r="L236">
        <v>0</v>
      </c>
    </row>
    <row r="237" spans="1:12" x14ac:dyDescent="0.3">
      <c r="A237" t="s">
        <v>428</v>
      </c>
      <c r="B237">
        <v>3</v>
      </c>
      <c r="C237">
        <v>2</v>
      </c>
      <c r="D237" t="s">
        <v>194</v>
      </c>
      <c r="E237">
        <v>5.9950000000000001</v>
      </c>
      <c r="F237">
        <v>1</v>
      </c>
      <c r="G237">
        <v>5</v>
      </c>
      <c r="H237">
        <v>5</v>
      </c>
      <c r="I237">
        <v>0</v>
      </c>
      <c r="J237">
        <v>9</v>
      </c>
      <c r="K237">
        <v>429</v>
      </c>
      <c r="L237">
        <v>0</v>
      </c>
    </row>
    <row r="238" spans="1:12" x14ac:dyDescent="0.3">
      <c r="A238" t="s">
        <v>429</v>
      </c>
      <c r="B238">
        <v>3</v>
      </c>
      <c r="C238">
        <v>2</v>
      </c>
      <c r="D238" t="s">
        <v>194</v>
      </c>
      <c r="E238">
        <v>5.9950000000000001</v>
      </c>
      <c r="F238">
        <v>1</v>
      </c>
      <c r="G238">
        <v>5</v>
      </c>
      <c r="H238">
        <v>5</v>
      </c>
      <c r="I238">
        <v>0</v>
      </c>
      <c r="J238">
        <v>9</v>
      </c>
      <c r="K238">
        <v>429</v>
      </c>
      <c r="L238">
        <v>0</v>
      </c>
    </row>
    <row r="239" spans="1:12" x14ac:dyDescent="0.3">
      <c r="A239" t="s">
        <v>430</v>
      </c>
      <c r="B239">
        <v>3</v>
      </c>
      <c r="C239">
        <v>2</v>
      </c>
      <c r="D239" t="s">
        <v>194</v>
      </c>
      <c r="E239">
        <v>5.9950000000000001</v>
      </c>
      <c r="F239">
        <v>1</v>
      </c>
      <c r="G239">
        <v>5</v>
      </c>
      <c r="H239">
        <v>5</v>
      </c>
      <c r="I239">
        <v>0</v>
      </c>
      <c r="J239">
        <v>9</v>
      </c>
      <c r="K239">
        <v>429</v>
      </c>
      <c r="L239">
        <v>0</v>
      </c>
    </row>
    <row r="240" spans="1:12" x14ac:dyDescent="0.3">
      <c r="A240" t="s">
        <v>431</v>
      </c>
      <c r="B240">
        <v>3</v>
      </c>
      <c r="C240">
        <v>2</v>
      </c>
      <c r="D240" t="s">
        <v>194</v>
      </c>
      <c r="E240">
        <v>7.4882999999999997</v>
      </c>
      <c r="F240">
        <v>1</v>
      </c>
      <c r="G240">
        <v>5</v>
      </c>
      <c r="H240">
        <v>5</v>
      </c>
      <c r="I240">
        <v>0</v>
      </c>
      <c r="J240">
        <v>9</v>
      </c>
      <c r="K240">
        <v>679</v>
      </c>
      <c r="L240">
        <v>0</v>
      </c>
    </row>
    <row r="241" spans="1:12" x14ac:dyDescent="0.3">
      <c r="A241" t="s">
        <v>432</v>
      </c>
      <c r="B241">
        <v>3</v>
      </c>
      <c r="C241">
        <v>2</v>
      </c>
      <c r="D241" t="s">
        <v>194</v>
      </c>
      <c r="E241">
        <v>5.9950000000000001</v>
      </c>
      <c r="F241">
        <v>1</v>
      </c>
      <c r="G241">
        <v>5</v>
      </c>
      <c r="H241">
        <v>5</v>
      </c>
      <c r="I241">
        <v>0</v>
      </c>
      <c r="J241">
        <v>9</v>
      </c>
      <c r="K241">
        <v>429</v>
      </c>
      <c r="L241">
        <v>0</v>
      </c>
    </row>
    <row r="242" spans="1:12" x14ac:dyDescent="0.3">
      <c r="A242" t="s">
        <v>433</v>
      </c>
      <c r="B242">
        <v>3</v>
      </c>
      <c r="C242">
        <v>2</v>
      </c>
      <c r="D242" t="s">
        <v>194</v>
      </c>
      <c r="E242">
        <v>2.9384000000000001</v>
      </c>
      <c r="F242">
        <v>1</v>
      </c>
      <c r="G242">
        <v>5</v>
      </c>
      <c r="H242">
        <v>5</v>
      </c>
      <c r="I242">
        <v>0</v>
      </c>
      <c r="J242">
        <v>5</v>
      </c>
      <c r="K242">
        <v>428</v>
      </c>
      <c r="L242">
        <v>60</v>
      </c>
    </row>
    <row r="243" spans="1:12" x14ac:dyDescent="0.3">
      <c r="A243" t="s">
        <v>434</v>
      </c>
      <c r="B243">
        <v>3</v>
      </c>
      <c r="C243">
        <v>2</v>
      </c>
      <c r="D243" t="s">
        <v>194</v>
      </c>
      <c r="E243">
        <v>5.9950000000000001</v>
      </c>
      <c r="F243">
        <v>1</v>
      </c>
      <c r="G243">
        <v>5</v>
      </c>
      <c r="H243">
        <v>5</v>
      </c>
      <c r="I243">
        <v>0</v>
      </c>
      <c r="J243">
        <v>9</v>
      </c>
      <c r="K243">
        <v>429</v>
      </c>
      <c r="L243">
        <v>0</v>
      </c>
    </row>
    <row r="244" spans="1:12" x14ac:dyDescent="0.3">
      <c r="A244" t="s">
        <v>435</v>
      </c>
      <c r="B244">
        <v>3</v>
      </c>
      <c r="C244">
        <v>2</v>
      </c>
      <c r="D244" t="s">
        <v>194</v>
      </c>
      <c r="E244">
        <v>5.9950000000000001</v>
      </c>
      <c r="F244">
        <v>1</v>
      </c>
      <c r="G244">
        <v>5</v>
      </c>
      <c r="H244">
        <v>5</v>
      </c>
      <c r="I244">
        <v>0</v>
      </c>
      <c r="J244">
        <v>9</v>
      </c>
      <c r="K244">
        <v>429</v>
      </c>
      <c r="L244">
        <v>0</v>
      </c>
    </row>
    <row r="245" spans="1:12" x14ac:dyDescent="0.3">
      <c r="A245" t="s">
        <v>436</v>
      </c>
      <c r="B245">
        <v>3</v>
      </c>
      <c r="C245">
        <v>2</v>
      </c>
      <c r="D245" t="s">
        <v>194</v>
      </c>
      <c r="E245">
        <v>5.9950000000000001</v>
      </c>
      <c r="F245">
        <v>1</v>
      </c>
      <c r="G245">
        <v>5</v>
      </c>
      <c r="H245">
        <v>5</v>
      </c>
      <c r="I245">
        <v>0</v>
      </c>
      <c r="J245">
        <v>9</v>
      </c>
      <c r="K245">
        <v>429</v>
      </c>
      <c r="L245">
        <v>0</v>
      </c>
    </row>
    <row r="246" spans="1:12" x14ac:dyDescent="0.3">
      <c r="A246" t="s">
        <v>437</v>
      </c>
      <c r="B246">
        <v>3</v>
      </c>
      <c r="C246">
        <v>2</v>
      </c>
      <c r="D246" t="s">
        <v>194</v>
      </c>
      <c r="E246">
        <v>5.9950000000000001</v>
      </c>
      <c r="F246">
        <v>1</v>
      </c>
      <c r="G246">
        <v>5</v>
      </c>
      <c r="H246">
        <v>5</v>
      </c>
      <c r="I246">
        <v>0</v>
      </c>
      <c r="J246">
        <v>9</v>
      </c>
      <c r="K246">
        <v>429</v>
      </c>
      <c r="L246">
        <v>0</v>
      </c>
    </row>
    <row r="247" spans="1:12" x14ac:dyDescent="0.3">
      <c r="A247" t="s">
        <v>438</v>
      </c>
      <c r="B247">
        <v>3</v>
      </c>
      <c r="C247">
        <v>2</v>
      </c>
      <c r="D247" t="s">
        <v>194</v>
      </c>
      <c r="E247">
        <v>5.9950000000000001</v>
      </c>
      <c r="F247">
        <v>1</v>
      </c>
      <c r="G247">
        <v>5</v>
      </c>
      <c r="H247">
        <v>5</v>
      </c>
      <c r="I247">
        <v>0</v>
      </c>
      <c r="J247">
        <v>9</v>
      </c>
      <c r="K247">
        <v>429</v>
      </c>
      <c r="L247">
        <v>0</v>
      </c>
    </row>
    <row r="248" spans="1:12" x14ac:dyDescent="0.3">
      <c r="A248" t="s">
        <v>439</v>
      </c>
      <c r="B248">
        <v>3</v>
      </c>
      <c r="C248">
        <v>2</v>
      </c>
      <c r="D248" t="s">
        <v>194</v>
      </c>
      <c r="E248">
        <v>7.4882999999999997</v>
      </c>
      <c r="F248">
        <v>1</v>
      </c>
      <c r="G248">
        <v>5</v>
      </c>
      <c r="H248">
        <v>5</v>
      </c>
      <c r="I248">
        <v>0</v>
      </c>
      <c r="J248">
        <v>9</v>
      </c>
      <c r="K248">
        <v>679</v>
      </c>
      <c r="L248">
        <v>0</v>
      </c>
    </row>
    <row r="249" spans="1:12" x14ac:dyDescent="0.3">
      <c r="A249" t="s">
        <v>440</v>
      </c>
      <c r="B249">
        <v>3</v>
      </c>
      <c r="C249">
        <v>2</v>
      </c>
      <c r="D249" t="s">
        <v>194</v>
      </c>
      <c r="E249">
        <v>5.9950000000000001</v>
      </c>
      <c r="F249">
        <v>1</v>
      </c>
      <c r="G249">
        <v>5</v>
      </c>
      <c r="H249">
        <v>5</v>
      </c>
      <c r="I249">
        <v>0</v>
      </c>
      <c r="J249">
        <v>9</v>
      </c>
      <c r="K249">
        <v>429</v>
      </c>
      <c r="L249">
        <v>0</v>
      </c>
    </row>
    <row r="250" spans="1:12" x14ac:dyDescent="0.3">
      <c r="A250" t="s">
        <v>441</v>
      </c>
      <c r="B250">
        <v>3</v>
      </c>
      <c r="C250">
        <v>2</v>
      </c>
      <c r="D250" t="s">
        <v>194</v>
      </c>
      <c r="E250">
        <v>5.9950000000000001</v>
      </c>
      <c r="F250">
        <v>1</v>
      </c>
      <c r="G250">
        <v>5</v>
      </c>
      <c r="H250">
        <v>5</v>
      </c>
      <c r="I250">
        <v>0</v>
      </c>
      <c r="J250">
        <v>9</v>
      </c>
      <c r="K250">
        <v>429</v>
      </c>
      <c r="L250">
        <v>0</v>
      </c>
    </row>
    <row r="251" spans="1:12" x14ac:dyDescent="0.3">
      <c r="A251" t="s">
        <v>442</v>
      </c>
      <c r="B251">
        <v>3</v>
      </c>
      <c r="C251">
        <v>2</v>
      </c>
      <c r="D251" t="s">
        <v>194</v>
      </c>
      <c r="E251">
        <v>5.9950000000000001</v>
      </c>
      <c r="F251">
        <v>1</v>
      </c>
      <c r="G251">
        <v>5</v>
      </c>
      <c r="H251">
        <v>5</v>
      </c>
      <c r="I251">
        <v>0</v>
      </c>
      <c r="J251">
        <v>9</v>
      </c>
      <c r="K251">
        <v>429</v>
      </c>
      <c r="L251">
        <v>60</v>
      </c>
    </row>
    <row r="252" spans="1:12" x14ac:dyDescent="0.3">
      <c r="A252" t="s">
        <v>443</v>
      </c>
      <c r="B252">
        <v>3</v>
      </c>
      <c r="C252">
        <v>2</v>
      </c>
      <c r="D252" t="s">
        <v>194</v>
      </c>
      <c r="E252">
        <v>5.9950000000000001</v>
      </c>
      <c r="F252">
        <v>1</v>
      </c>
      <c r="G252">
        <v>5</v>
      </c>
      <c r="H252">
        <v>5</v>
      </c>
      <c r="I252">
        <v>0</v>
      </c>
      <c r="J252">
        <v>9</v>
      </c>
      <c r="K252">
        <v>429</v>
      </c>
      <c r="L252">
        <v>0</v>
      </c>
    </row>
    <row r="253" spans="1:12" x14ac:dyDescent="0.3">
      <c r="A253" t="s">
        <v>444</v>
      </c>
      <c r="B253">
        <v>3</v>
      </c>
      <c r="C253">
        <v>2</v>
      </c>
      <c r="D253" t="s">
        <v>194</v>
      </c>
      <c r="E253">
        <v>5.9950000000000001</v>
      </c>
      <c r="F253">
        <v>1</v>
      </c>
      <c r="G253">
        <v>5</v>
      </c>
      <c r="H253">
        <v>5</v>
      </c>
      <c r="I253">
        <v>0</v>
      </c>
      <c r="J253">
        <v>9</v>
      </c>
      <c r="K253">
        <v>429</v>
      </c>
      <c r="L253">
        <v>0</v>
      </c>
    </row>
    <row r="254" spans="1:12" x14ac:dyDescent="0.3">
      <c r="A254" t="s">
        <v>445</v>
      </c>
      <c r="B254">
        <v>3</v>
      </c>
      <c r="C254">
        <v>2</v>
      </c>
      <c r="D254" t="s">
        <v>194</v>
      </c>
      <c r="E254">
        <v>7.4882999999999997</v>
      </c>
      <c r="F254">
        <v>1</v>
      </c>
      <c r="G254">
        <v>5</v>
      </c>
      <c r="H254">
        <v>5</v>
      </c>
      <c r="I254">
        <v>0</v>
      </c>
      <c r="J254">
        <v>9</v>
      </c>
      <c r="K254">
        <v>679</v>
      </c>
      <c r="L254">
        <v>0</v>
      </c>
    </row>
    <row r="255" spans="1:12" x14ac:dyDescent="0.3">
      <c r="A255" t="s">
        <v>446</v>
      </c>
      <c r="B255">
        <v>3</v>
      </c>
      <c r="C255">
        <v>2</v>
      </c>
      <c r="D255" t="s">
        <v>194</v>
      </c>
      <c r="E255">
        <v>5.9950000000000001</v>
      </c>
      <c r="F255">
        <v>1</v>
      </c>
      <c r="G255">
        <v>5</v>
      </c>
      <c r="H255">
        <v>5</v>
      </c>
      <c r="I255">
        <v>0</v>
      </c>
      <c r="J255">
        <v>9</v>
      </c>
      <c r="K255">
        <v>429</v>
      </c>
      <c r="L255">
        <v>0</v>
      </c>
    </row>
    <row r="256" spans="1:12" x14ac:dyDescent="0.3">
      <c r="A256" t="s">
        <v>447</v>
      </c>
      <c r="B256">
        <v>3</v>
      </c>
      <c r="C256">
        <v>2</v>
      </c>
      <c r="D256" t="s">
        <v>194</v>
      </c>
      <c r="E256">
        <v>5.9950000000000001</v>
      </c>
      <c r="F256">
        <v>1</v>
      </c>
      <c r="G256">
        <v>5</v>
      </c>
      <c r="H256">
        <v>5</v>
      </c>
      <c r="I256">
        <v>0</v>
      </c>
      <c r="J256">
        <v>9</v>
      </c>
      <c r="K256">
        <v>429</v>
      </c>
      <c r="L256">
        <v>0</v>
      </c>
    </row>
    <row r="257" spans="1:12" x14ac:dyDescent="0.3">
      <c r="A257" t="s">
        <v>448</v>
      </c>
      <c r="B257">
        <v>3</v>
      </c>
      <c r="C257">
        <v>2</v>
      </c>
      <c r="D257" t="s">
        <v>194</v>
      </c>
      <c r="E257">
        <v>5.9950000000000001</v>
      </c>
      <c r="F257">
        <v>1</v>
      </c>
      <c r="G257">
        <v>5</v>
      </c>
      <c r="H257">
        <v>5</v>
      </c>
      <c r="I257">
        <v>0</v>
      </c>
      <c r="J257">
        <v>9</v>
      </c>
      <c r="K257">
        <v>429</v>
      </c>
      <c r="L257">
        <v>0</v>
      </c>
    </row>
    <row r="258" spans="1:12" x14ac:dyDescent="0.3">
      <c r="A258" t="s">
        <v>449</v>
      </c>
      <c r="B258">
        <v>3</v>
      </c>
      <c r="C258">
        <v>2</v>
      </c>
      <c r="D258" t="s">
        <v>194</v>
      </c>
      <c r="E258">
        <v>5.9950000000000001</v>
      </c>
      <c r="F258">
        <v>1</v>
      </c>
      <c r="G258">
        <v>5</v>
      </c>
      <c r="H258">
        <v>5</v>
      </c>
      <c r="I258">
        <v>0</v>
      </c>
      <c r="J258">
        <v>9</v>
      </c>
      <c r="K258">
        <v>429</v>
      </c>
      <c r="L258">
        <v>0</v>
      </c>
    </row>
    <row r="259" spans="1:12" x14ac:dyDescent="0.3">
      <c r="A259" t="s">
        <v>450</v>
      </c>
      <c r="B259">
        <v>3</v>
      </c>
      <c r="C259">
        <v>2</v>
      </c>
      <c r="D259" t="s">
        <v>194</v>
      </c>
      <c r="E259">
        <v>5.9950000000000001</v>
      </c>
      <c r="F259">
        <v>1</v>
      </c>
      <c r="G259">
        <v>5</v>
      </c>
      <c r="H259">
        <v>5</v>
      </c>
      <c r="I259">
        <v>0</v>
      </c>
      <c r="J259">
        <v>9</v>
      </c>
      <c r="K259">
        <v>429</v>
      </c>
      <c r="L259">
        <v>0</v>
      </c>
    </row>
    <row r="260" spans="1:12" x14ac:dyDescent="0.3">
      <c r="A260" t="s">
        <v>451</v>
      </c>
      <c r="B260">
        <v>3</v>
      </c>
      <c r="C260">
        <v>2</v>
      </c>
      <c r="D260" t="s">
        <v>194</v>
      </c>
      <c r="E260">
        <v>5.9950000000000001</v>
      </c>
      <c r="F260">
        <v>1</v>
      </c>
      <c r="G260">
        <v>5</v>
      </c>
      <c r="H260">
        <v>5</v>
      </c>
      <c r="I260">
        <v>0</v>
      </c>
      <c r="J260">
        <v>9</v>
      </c>
      <c r="K260">
        <v>429</v>
      </c>
      <c r="L260">
        <v>0</v>
      </c>
    </row>
    <row r="261" spans="1:12" x14ac:dyDescent="0.3">
      <c r="A261" t="s">
        <v>452</v>
      </c>
      <c r="B261">
        <v>3</v>
      </c>
      <c r="C261">
        <v>2</v>
      </c>
      <c r="D261" t="s">
        <v>194</v>
      </c>
      <c r="E261">
        <v>5.9950000000000001</v>
      </c>
      <c r="F261">
        <v>1</v>
      </c>
      <c r="G261">
        <v>5</v>
      </c>
      <c r="H261">
        <v>5</v>
      </c>
      <c r="I261">
        <v>0</v>
      </c>
      <c r="J261">
        <v>9</v>
      </c>
      <c r="K261">
        <v>429</v>
      </c>
      <c r="L261">
        <v>0</v>
      </c>
    </row>
    <row r="262" spans="1:12" x14ac:dyDescent="0.3">
      <c r="A262" t="s">
        <v>453</v>
      </c>
      <c r="B262">
        <v>3</v>
      </c>
      <c r="C262">
        <v>2</v>
      </c>
      <c r="D262" t="s">
        <v>194</v>
      </c>
      <c r="E262">
        <v>5.9950000000000001</v>
      </c>
      <c r="F262">
        <v>1</v>
      </c>
      <c r="G262">
        <v>5</v>
      </c>
      <c r="H262">
        <v>5</v>
      </c>
      <c r="I262">
        <v>0</v>
      </c>
      <c r="J262">
        <v>9</v>
      </c>
      <c r="K262">
        <v>429</v>
      </c>
      <c r="L262">
        <v>0</v>
      </c>
    </row>
    <row r="263" spans="1:12" x14ac:dyDescent="0.3">
      <c r="A263" t="s">
        <v>454</v>
      </c>
      <c r="B263">
        <v>3</v>
      </c>
      <c r="C263">
        <v>2</v>
      </c>
      <c r="D263" t="s">
        <v>194</v>
      </c>
      <c r="E263">
        <v>5.9950000000000001</v>
      </c>
      <c r="F263">
        <v>1</v>
      </c>
      <c r="G263">
        <v>5</v>
      </c>
      <c r="H263">
        <v>5</v>
      </c>
      <c r="I263">
        <v>0</v>
      </c>
      <c r="J263">
        <v>9</v>
      </c>
      <c r="K263">
        <v>429</v>
      </c>
      <c r="L263">
        <v>0</v>
      </c>
    </row>
    <row r="264" spans="1:12" x14ac:dyDescent="0.3">
      <c r="A264" t="s">
        <v>455</v>
      </c>
      <c r="B264">
        <v>3</v>
      </c>
      <c r="C264">
        <v>2</v>
      </c>
      <c r="D264" t="s">
        <v>194</v>
      </c>
      <c r="E264">
        <v>5.9950000000000001</v>
      </c>
      <c r="F264">
        <v>1</v>
      </c>
      <c r="G264">
        <v>5</v>
      </c>
      <c r="H264">
        <v>5</v>
      </c>
      <c r="I264">
        <v>0</v>
      </c>
      <c r="J264">
        <v>9</v>
      </c>
      <c r="K264">
        <v>429</v>
      </c>
      <c r="L264">
        <v>0</v>
      </c>
    </row>
    <row r="265" spans="1:12" x14ac:dyDescent="0.3">
      <c r="A265" t="s">
        <v>456</v>
      </c>
      <c r="B265">
        <v>3</v>
      </c>
      <c r="C265">
        <v>2</v>
      </c>
      <c r="D265" t="s">
        <v>194</v>
      </c>
      <c r="E265">
        <v>5.9950000000000001</v>
      </c>
      <c r="F265">
        <v>1</v>
      </c>
      <c r="G265">
        <v>5</v>
      </c>
      <c r="H265">
        <v>5</v>
      </c>
      <c r="I265">
        <v>0</v>
      </c>
      <c r="J265">
        <v>9</v>
      </c>
      <c r="K265">
        <v>429</v>
      </c>
      <c r="L265">
        <v>0</v>
      </c>
    </row>
    <row r="266" spans="1:12" x14ac:dyDescent="0.3">
      <c r="A266" t="s">
        <v>457</v>
      </c>
      <c r="B266">
        <v>3</v>
      </c>
      <c r="C266">
        <v>2</v>
      </c>
      <c r="D266" t="s">
        <v>194</v>
      </c>
      <c r="E266">
        <v>4.4839000000000002</v>
      </c>
      <c r="F266">
        <v>1</v>
      </c>
      <c r="G266">
        <v>5</v>
      </c>
      <c r="H266">
        <v>5</v>
      </c>
      <c r="I266">
        <v>0</v>
      </c>
      <c r="J266">
        <v>5</v>
      </c>
      <c r="K266">
        <v>428</v>
      </c>
      <c r="L266">
        <v>0</v>
      </c>
    </row>
    <row r="267" spans="1:12" x14ac:dyDescent="0.3">
      <c r="A267" t="s">
        <v>458</v>
      </c>
      <c r="B267">
        <v>3</v>
      </c>
      <c r="C267">
        <v>2</v>
      </c>
      <c r="D267" t="s">
        <v>194</v>
      </c>
      <c r="E267">
        <v>4.4839000000000002</v>
      </c>
      <c r="F267">
        <v>1</v>
      </c>
      <c r="G267">
        <v>5</v>
      </c>
      <c r="H267">
        <v>5</v>
      </c>
      <c r="I267">
        <v>0</v>
      </c>
      <c r="J267">
        <v>5</v>
      </c>
      <c r="K267">
        <v>428</v>
      </c>
      <c r="L267">
        <v>0</v>
      </c>
    </row>
    <row r="268" spans="1:12" x14ac:dyDescent="0.3">
      <c r="A268" t="s">
        <v>459</v>
      </c>
      <c r="B268">
        <v>3</v>
      </c>
      <c r="C268">
        <v>2</v>
      </c>
      <c r="D268" t="s">
        <v>194</v>
      </c>
      <c r="E268">
        <v>4.4839000000000002</v>
      </c>
      <c r="F268">
        <v>1</v>
      </c>
      <c r="G268">
        <v>5</v>
      </c>
      <c r="H268">
        <v>5</v>
      </c>
      <c r="I268">
        <v>0</v>
      </c>
      <c r="J268">
        <v>5</v>
      </c>
      <c r="K268">
        <v>428</v>
      </c>
      <c r="L268">
        <v>0</v>
      </c>
    </row>
    <row r="269" spans="1:12" x14ac:dyDescent="0.3">
      <c r="A269" t="s">
        <v>460</v>
      </c>
      <c r="B269">
        <v>3</v>
      </c>
      <c r="C269">
        <v>2</v>
      </c>
      <c r="D269" t="s">
        <v>194</v>
      </c>
      <c r="E269">
        <v>4.4839000000000002</v>
      </c>
      <c r="F269">
        <v>1</v>
      </c>
      <c r="G269">
        <v>5</v>
      </c>
      <c r="H269">
        <v>5</v>
      </c>
      <c r="I269">
        <v>0</v>
      </c>
      <c r="J269">
        <v>5</v>
      </c>
      <c r="K269">
        <v>428</v>
      </c>
      <c r="L269">
        <v>0</v>
      </c>
    </row>
    <row r="270" spans="1:12" x14ac:dyDescent="0.3">
      <c r="A270" t="s">
        <v>461</v>
      </c>
      <c r="B270">
        <v>3</v>
      </c>
      <c r="C270">
        <v>2</v>
      </c>
      <c r="D270" t="s">
        <v>194</v>
      </c>
      <c r="E270">
        <v>4.4839000000000002</v>
      </c>
      <c r="F270">
        <v>1</v>
      </c>
      <c r="G270">
        <v>5</v>
      </c>
      <c r="H270">
        <v>5</v>
      </c>
      <c r="I270">
        <v>0</v>
      </c>
      <c r="J270">
        <v>5</v>
      </c>
      <c r="K270">
        <v>428</v>
      </c>
      <c r="L270">
        <v>0</v>
      </c>
    </row>
    <row r="271" spans="1:12" x14ac:dyDescent="0.3">
      <c r="A271" t="s">
        <v>462</v>
      </c>
      <c r="B271">
        <v>3</v>
      </c>
      <c r="C271">
        <v>2</v>
      </c>
      <c r="D271" t="s">
        <v>194</v>
      </c>
      <c r="E271">
        <v>5.9950000000000001</v>
      </c>
      <c r="F271">
        <v>1</v>
      </c>
      <c r="G271">
        <v>5</v>
      </c>
      <c r="H271">
        <v>5</v>
      </c>
      <c r="I271">
        <v>0</v>
      </c>
      <c r="J271">
        <v>9</v>
      </c>
      <c r="K271">
        <v>429</v>
      </c>
      <c r="L271">
        <v>0</v>
      </c>
    </row>
    <row r="272" spans="1:12" x14ac:dyDescent="0.3">
      <c r="A272" t="s">
        <v>463</v>
      </c>
      <c r="B272">
        <v>3</v>
      </c>
      <c r="C272">
        <v>2</v>
      </c>
      <c r="D272" t="s">
        <v>194</v>
      </c>
      <c r="E272">
        <v>7.4882999999999997</v>
      </c>
      <c r="F272">
        <v>1</v>
      </c>
      <c r="G272">
        <v>5</v>
      </c>
      <c r="H272">
        <v>5</v>
      </c>
      <c r="I272">
        <v>0</v>
      </c>
      <c r="J272">
        <v>9</v>
      </c>
      <c r="K272">
        <v>679</v>
      </c>
      <c r="L272">
        <v>0</v>
      </c>
    </row>
    <row r="273" spans="1:12" x14ac:dyDescent="0.3">
      <c r="A273" t="s">
        <v>464</v>
      </c>
      <c r="B273">
        <v>3</v>
      </c>
      <c r="C273">
        <v>2</v>
      </c>
      <c r="D273" t="s">
        <v>194</v>
      </c>
      <c r="E273">
        <v>5.9950000000000001</v>
      </c>
      <c r="F273">
        <v>1</v>
      </c>
      <c r="G273">
        <v>5</v>
      </c>
      <c r="H273">
        <v>5</v>
      </c>
      <c r="I273">
        <v>0</v>
      </c>
      <c r="J273">
        <v>9</v>
      </c>
      <c r="K273">
        <v>429</v>
      </c>
      <c r="L273">
        <v>0</v>
      </c>
    </row>
    <row r="274" spans="1:12" x14ac:dyDescent="0.3">
      <c r="A274" t="s">
        <v>465</v>
      </c>
      <c r="B274">
        <v>3</v>
      </c>
      <c r="C274">
        <v>2</v>
      </c>
      <c r="D274" t="s">
        <v>194</v>
      </c>
      <c r="E274">
        <v>5.9950000000000001</v>
      </c>
      <c r="F274">
        <v>1</v>
      </c>
      <c r="G274">
        <v>5</v>
      </c>
      <c r="H274">
        <v>5</v>
      </c>
      <c r="I274">
        <v>0</v>
      </c>
      <c r="J274">
        <v>9</v>
      </c>
      <c r="K274">
        <v>429</v>
      </c>
      <c r="L274">
        <v>0</v>
      </c>
    </row>
    <row r="275" spans="1:12" x14ac:dyDescent="0.3">
      <c r="A275" t="s">
        <v>466</v>
      </c>
      <c r="B275">
        <v>3</v>
      </c>
      <c r="C275">
        <v>2</v>
      </c>
      <c r="D275" t="s">
        <v>194</v>
      </c>
      <c r="E275">
        <v>5.9950000000000001</v>
      </c>
      <c r="F275">
        <v>1</v>
      </c>
      <c r="G275">
        <v>5</v>
      </c>
      <c r="H275">
        <v>5</v>
      </c>
      <c r="I275">
        <v>0</v>
      </c>
      <c r="J275">
        <v>9</v>
      </c>
      <c r="K275">
        <v>429</v>
      </c>
      <c r="L275">
        <v>0</v>
      </c>
    </row>
    <row r="276" spans="1:12" x14ac:dyDescent="0.3">
      <c r="A276" t="s">
        <v>467</v>
      </c>
      <c r="B276">
        <v>3</v>
      </c>
      <c r="C276">
        <v>2</v>
      </c>
      <c r="D276" t="s">
        <v>194</v>
      </c>
      <c r="E276">
        <v>5.9950000000000001</v>
      </c>
      <c r="F276">
        <v>1</v>
      </c>
      <c r="G276">
        <v>5</v>
      </c>
      <c r="H276">
        <v>5</v>
      </c>
      <c r="I276">
        <v>0</v>
      </c>
      <c r="J276">
        <v>9</v>
      </c>
      <c r="K276">
        <v>429</v>
      </c>
      <c r="L276">
        <v>0</v>
      </c>
    </row>
    <row r="277" spans="1:12" x14ac:dyDescent="0.3">
      <c r="A277" t="s">
        <v>468</v>
      </c>
      <c r="B277">
        <v>3</v>
      </c>
      <c r="C277">
        <v>2</v>
      </c>
      <c r="D277" t="s">
        <v>194</v>
      </c>
      <c r="E277">
        <v>5.9950000000000001</v>
      </c>
      <c r="F277">
        <v>1</v>
      </c>
      <c r="G277">
        <v>5</v>
      </c>
      <c r="H277">
        <v>5</v>
      </c>
      <c r="I277">
        <v>0</v>
      </c>
      <c r="J277">
        <v>9</v>
      </c>
      <c r="K277">
        <v>429</v>
      </c>
      <c r="L277">
        <v>0</v>
      </c>
    </row>
    <row r="278" spans="1:12" x14ac:dyDescent="0.3">
      <c r="A278" t="s">
        <v>469</v>
      </c>
      <c r="B278">
        <v>3</v>
      </c>
      <c r="C278">
        <v>2</v>
      </c>
      <c r="D278" t="s">
        <v>194</v>
      </c>
      <c r="E278">
        <v>4.4839000000000002</v>
      </c>
      <c r="F278">
        <v>1</v>
      </c>
      <c r="G278">
        <v>5</v>
      </c>
      <c r="H278">
        <v>5</v>
      </c>
      <c r="I278">
        <v>0</v>
      </c>
      <c r="J278">
        <v>7</v>
      </c>
      <c r="K278">
        <v>428</v>
      </c>
      <c r="L278">
        <v>0</v>
      </c>
    </row>
    <row r="279" spans="1:12" x14ac:dyDescent="0.3">
      <c r="A279" t="s">
        <v>470</v>
      </c>
      <c r="B279">
        <v>3</v>
      </c>
      <c r="C279">
        <v>2</v>
      </c>
      <c r="D279" t="s">
        <v>194</v>
      </c>
      <c r="E279">
        <v>4.4805000000000001</v>
      </c>
      <c r="F279">
        <v>1</v>
      </c>
      <c r="G279">
        <v>5</v>
      </c>
      <c r="H279">
        <v>5</v>
      </c>
      <c r="I279">
        <v>0</v>
      </c>
      <c r="J279">
        <v>5</v>
      </c>
      <c r="K279">
        <v>428</v>
      </c>
      <c r="L279">
        <v>0</v>
      </c>
    </row>
    <row r="280" spans="1:12" x14ac:dyDescent="0.3">
      <c r="A280" t="s">
        <v>471</v>
      </c>
      <c r="B280">
        <v>3</v>
      </c>
      <c r="C280">
        <v>2</v>
      </c>
      <c r="D280" t="s">
        <v>194</v>
      </c>
      <c r="E280">
        <v>5.9950000000000001</v>
      </c>
      <c r="F280">
        <v>1</v>
      </c>
      <c r="G280">
        <v>5</v>
      </c>
      <c r="H280">
        <v>5</v>
      </c>
      <c r="I280">
        <v>0</v>
      </c>
      <c r="J280">
        <v>9</v>
      </c>
      <c r="K280">
        <v>429</v>
      </c>
      <c r="L280">
        <v>60</v>
      </c>
    </row>
    <row r="281" spans="1:12" x14ac:dyDescent="0.3">
      <c r="A281" t="s">
        <v>472</v>
      </c>
      <c r="B281">
        <v>3</v>
      </c>
      <c r="C281">
        <v>2</v>
      </c>
      <c r="D281" t="s">
        <v>194</v>
      </c>
      <c r="E281">
        <v>5.9950000000000001</v>
      </c>
      <c r="F281">
        <v>1</v>
      </c>
      <c r="G281">
        <v>5</v>
      </c>
      <c r="H281">
        <v>5</v>
      </c>
      <c r="I281">
        <v>0</v>
      </c>
      <c r="J281">
        <v>9</v>
      </c>
      <c r="K281">
        <v>429</v>
      </c>
      <c r="L281">
        <v>0</v>
      </c>
    </row>
    <row r="282" spans="1:12" x14ac:dyDescent="0.3">
      <c r="A282" t="s">
        <v>473</v>
      </c>
      <c r="B282">
        <v>3</v>
      </c>
      <c r="C282">
        <v>2</v>
      </c>
      <c r="D282" t="s">
        <v>194</v>
      </c>
      <c r="E282">
        <v>5.9950000000000001</v>
      </c>
      <c r="F282">
        <v>1</v>
      </c>
      <c r="G282">
        <v>5</v>
      </c>
      <c r="H282">
        <v>5</v>
      </c>
      <c r="I282">
        <v>0</v>
      </c>
      <c r="J282">
        <v>9</v>
      </c>
      <c r="K282">
        <v>429</v>
      </c>
      <c r="L282">
        <v>0</v>
      </c>
    </row>
    <row r="283" spans="1:12" x14ac:dyDescent="0.3">
      <c r="A283" t="s">
        <v>474</v>
      </c>
      <c r="B283">
        <v>3</v>
      </c>
      <c r="C283">
        <v>2</v>
      </c>
      <c r="D283" t="s">
        <v>194</v>
      </c>
      <c r="E283">
        <v>5.9950000000000001</v>
      </c>
      <c r="F283">
        <v>1</v>
      </c>
      <c r="G283">
        <v>5</v>
      </c>
      <c r="H283">
        <v>5</v>
      </c>
      <c r="I283">
        <v>0</v>
      </c>
      <c r="J283">
        <v>9</v>
      </c>
      <c r="K283">
        <v>429</v>
      </c>
      <c r="L283">
        <v>0</v>
      </c>
    </row>
    <row r="284" spans="1:12" x14ac:dyDescent="0.3">
      <c r="A284" t="s">
        <v>475</v>
      </c>
      <c r="B284">
        <v>3</v>
      </c>
      <c r="C284">
        <v>2</v>
      </c>
      <c r="D284" t="s">
        <v>194</v>
      </c>
      <c r="E284">
        <v>5.9950000000000001</v>
      </c>
      <c r="F284">
        <v>1</v>
      </c>
      <c r="G284">
        <v>5</v>
      </c>
      <c r="H284">
        <v>5</v>
      </c>
      <c r="I284">
        <v>0</v>
      </c>
      <c r="J284">
        <v>9</v>
      </c>
      <c r="K284">
        <v>429</v>
      </c>
      <c r="L284">
        <v>0</v>
      </c>
    </row>
    <row r="285" spans="1:12" x14ac:dyDescent="0.3">
      <c r="A285" t="s">
        <v>476</v>
      </c>
      <c r="B285">
        <v>3</v>
      </c>
      <c r="C285">
        <v>2</v>
      </c>
      <c r="D285" t="s">
        <v>194</v>
      </c>
      <c r="E285">
        <v>5.9950000000000001</v>
      </c>
      <c r="F285">
        <v>1</v>
      </c>
      <c r="G285">
        <v>5</v>
      </c>
      <c r="H285">
        <v>5</v>
      </c>
      <c r="I285">
        <v>0</v>
      </c>
      <c r="J285">
        <v>9</v>
      </c>
      <c r="K285">
        <v>429</v>
      </c>
      <c r="L285">
        <v>0</v>
      </c>
    </row>
    <row r="286" spans="1:12" x14ac:dyDescent="0.3">
      <c r="A286" t="s">
        <v>477</v>
      </c>
      <c r="B286">
        <v>3</v>
      </c>
      <c r="C286">
        <v>2</v>
      </c>
      <c r="D286" t="s">
        <v>194</v>
      </c>
      <c r="E286">
        <v>7.4882999999999997</v>
      </c>
      <c r="F286">
        <v>1</v>
      </c>
      <c r="G286">
        <v>5</v>
      </c>
      <c r="H286">
        <v>5</v>
      </c>
      <c r="I286">
        <v>0</v>
      </c>
      <c r="J286">
        <v>9</v>
      </c>
      <c r="K286">
        <v>679</v>
      </c>
      <c r="L286">
        <v>0</v>
      </c>
    </row>
    <row r="287" spans="1:12" x14ac:dyDescent="0.3">
      <c r="A287" t="s">
        <v>478</v>
      </c>
      <c r="B287">
        <v>3</v>
      </c>
      <c r="C287">
        <v>2</v>
      </c>
      <c r="D287" t="s">
        <v>194</v>
      </c>
      <c r="E287">
        <v>4.4839000000000002</v>
      </c>
      <c r="F287">
        <v>1</v>
      </c>
      <c r="G287">
        <v>5</v>
      </c>
      <c r="H287">
        <v>5</v>
      </c>
      <c r="I287">
        <v>0</v>
      </c>
      <c r="J287">
        <v>5</v>
      </c>
      <c r="K287">
        <v>428</v>
      </c>
      <c r="L287">
        <v>0</v>
      </c>
    </row>
    <row r="288" spans="1:12" x14ac:dyDescent="0.3">
      <c r="A288" t="s">
        <v>479</v>
      </c>
      <c r="B288">
        <v>3</v>
      </c>
      <c r="C288">
        <v>2</v>
      </c>
      <c r="D288" t="s">
        <v>194</v>
      </c>
      <c r="E288">
        <v>4.2935999999999996</v>
      </c>
      <c r="F288">
        <v>1</v>
      </c>
      <c r="G288">
        <v>5</v>
      </c>
      <c r="H288">
        <v>5</v>
      </c>
      <c r="I288">
        <v>0</v>
      </c>
      <c r="J288">
        <v>5</v>
      </c>
      <c r="K288">
        <v>428</v>
      </c>
      <c r="L288">
        <v>0</v>
      </c>
    </row>
    <row r="289" spans="1:12" x14ac:dyDescent="0.3">
      <c r="A289" t="s">
        <v>480</v>
      </c>
      <c r="B289">
        <v>3</v>
      </c>
      <c r="C289">
        <v>2</v>
      </c>
      <c r="D289" t="s">
        <v>194</v>
      </c>
      <c r="E289">
        <v>4.2935999999999996</v>
      </c>
      <c r="F289">
        <v>1</v>
      </c>
      <c r="G289">
        <v>5</v>
      </c>
      <c r="H289">
        <v>5</v>
      </c>
      <c r="I289">
        <v>0</v>
      </c>
      <c r="J289">
        <v>5</v>
      </c>
      <c r="K289">
        <v>428</v>
      </c>
      <c r="L289">
        <v>0</v>
      </c>
    </row>
    <row r="290" spans="1:12" x14ac:dyDescent="0.3">
      <c r="A290" t="s">
        <v>481</v>
      </c>
      <c r="B290">
        <v>3</v>
      </c>
      <c r="C290">
        <v>2</v>
      </c>
      <c r="D290" t="s">
        <v>194</v>
      </c>
      <c r="E290">
        <v>4.2935999999999996</v>
      </c>
      <c r="F290">
        <v>1</v>
      </c>
      <c r="G290">
        <v>5</v>
      </c>
      <c r="H290">
        <v>5</v>
      </c>
      <c r="I290">
        <v>0</v>
      </c>
      <c r="J290">
        <v>5</v>
      </c>
      <c r="K290">
        <v>428</v>
      </c>
      <c r="L290">
        <v>0</v>
      </c>
    </row>
    <row r="291" spans="1:12" x14ac:dyDescent="0.3">
      <c r="A291" t="s">
        <v>482</v>
      </c>
      <c r="B291">
        <v>3</v>
      </c>
      <c r="C291">
        <v>2</v>
      </c>
      <c r="D291" t="s">
        <v>194</v>
      </c>
      <c r="E291">
        <v>4.2935999999999996</v>
      </c>
      <c r="F291">
        <v>1</v>
      </c>
      <c r="G291">
        <v>5</v>
      </c>
      <c r="H291">
        <v>5</v>
      </c>
      <c r="I291">
        <v>0</v>
      </c>
      <c r="J291">
        <v>5</v>
      </c>
      <c r="K291">
        <v>428</v>
      </c>
      <c r="L291">
        <v>0</v>
      </c>
    </row>
    <row r="292" spans="1:12" x14ac:dyDescent="0.3">
      <c r="A292" t="s">
        <v>483</v>
      </c>
      <c r="B292">
        <v>3</v>
      </c>
      <c r="C292">
        <v>2</v>
      </c>
      <c r="D292" t="s">
        <v>194</v>
      </c>
      <c r="E292">
        <v>4.2935999999999996</v>
      </c>
      <c r="F292">
        <v>1</v>
      </c>
      <c r="G292">
        <v>5</v>
      </c>
      <c r="H292">
        <v>5</v>
      </c>
      <c r="I292">
        <v>0</v>
      </c>
      <c r="J292">
        <v>5</v>
      </c>
      <c r="K292">
        <v>428</v>
      </c>
      <c r="L292">
        <v>0</v>
      </c>
    </row>
    <row r="293" spans="1:12" x14ac:dyDescent="0.3">
      <c r="A293" t="s">
        <v>484</v>
      </c>
      <c r="B293">
        <v>3</v>
      </c>
      <c r="C293">
        <v>2</v>
      </c>
      <c r="D293" t="s">
        <v>194</v>
      </c>
      <c r="E293">
        <v>4.2935999999999996</v>
      </c>
      <c r="F293">
        <v>1</v>
      </c>
      <c r="G293">
        <v>5</v>
      </c>
      <c r="H293">
        <v>5</v>
      </c>
      <c r="I293">
        <v>0</v>
      </c>
      <c r="J293">
        <v>5</v>
      </c>
      <c r="K293">
        <v>428</v>
      </c>
      <c r="L293">
        <v>0</v>
      </c>
    </row>
    <row r="294" spans="1:12" x14ac:dyDescent="0.3">
      <c r="A294" t="s">
        <v>485</v>
      </c>
      <c r="B294">
        <v>3</v>
      </c>
      <c r="C294">
        <v>2</v>
      </c>
      <c r="D294" t="s">
        <v>194</v>
      </c>
      <c r="E294">
        <v>4.2935999999999996</v>
      </c>
      <c r="F294">
        <v>1</v>
      </c>
      <c r="G294">
        <v>5</v>
      </c>
      <c r="H294">
        <v>5</v>
      </c>
      <c r="I294">
        <v>0</v>
      </c>
      <c r="J294">
        <v>5</v>
      </c>
      <c r="K294">
        <v>428</v>
      </c>
      <c r="L294">
        <v>0</v>
      </c>
    </row>
    <row r="295" spans="1:12" x14ac:dyDescent="0.3">
      <c r="A295" t="s">
        <v>486</v>
      </c>
      <c r="B295">
        <v>3</v>
      </c>
      <c r="C295">
        <v>2</v>
      </c>
      <c r="D295" t="s">
        <v>194</v>
      </c>
      <c r="E295">
        <v>2.7069999999999999</v>
      </c>
      <c r="F295">
        <v>1</v>
      </c>
      <c r="G295">
        <v>5</v>
      </c>
      <c r="H295">
        <v>5</v>
      </c>
      <c r="I295">
        <v>0</v>
      </c>
      <c r="J295">
        <v>6</v>
      </c>
      <c r="K295">
        <v>428</v>
      </c>
      <c r="L295">
        <v>0</v>
      </c>
    </row>
    <row r="296" spans="1:12" x14ac:dyDescent="0.3">
      <c r="A296" t="s">
        <v>487</v>
      </c>
      <c r="B296">
        <v>3</v>
      </c>
      <c r="C296">
        <v>2</v>
      </c>
      <c r="D296" t="s">
        <v>194</v>
      </c>
      <c r="E296">
        <v>2.7069999999999999</v>
      </c>
      <c r="F296">
        <v>1</v>
      </c>
      <c r="G296">
        <v>5</v>
      </c>
      <c r="H296">
        <v>5</v>
      </c>
      <c r="I296">
        <v>0</v>
      </c>
      <c r="J296">
        <v>6</v>
      </c>
      <c r="K296">
        <v>428</v>
      </c>
      <c r="L296">
        <v>0</v>
      </c>
    </row>
    <row r="297" spans="1:12" x14ac:dyDescent="0.3">
      <c r="A297" t="s">
        <v>488</v>
      </c>
      <c r="B297">
        <v>3</v>
      </c>
      <c r="C297">
        <v>2</v>
      </c>
      <c r="D297" t="s">
        <v>194</v>
      </c>
      <c r="E297">
        <v>4.2935999999999996</v>
      </c>
      <c r="F297">
        <v>1</v>
      </c>
      <c r="G297">
        <v>5</v>
      </c>
      <c r="H297">
        <v>5</v>
      </c>
      <c r="I297">
        <v>0</v>
      </c>
      <c r="J297">
        <v>5</v>
      </c>
      <c r="K297">
        <v>428</v>
      </c>
      <c r="L297">
        <v>0</v>
      </c>
    </row>
    <row r="298" spans="1:12" x14ac:dyDescent="0.3">
      <c r="A298" t="s">
        <v>489</v>
      </c>
      <c r="B298">
        <v>3</v>
      </c>
      <c r="C298">
        <v>2</v>
      </c>
      <c r="D298" t="s">
        <v>194</v>
      </c>
      <c r="E298">
        <v>4.2935999999999996</v>
      </c>
      <c r="F298">
        <v>1</v>
      </c>
      <c r="G298">
        <v>5</v>
      </c>
      <c r="H298">
        <v>5</v>
      </c>
      <c r="I298">
        <v>0</v>
      </c>
      <c r="J298">
        <v>5</v>
      </c>
      <c r="K298">
        <v>428</v>
      </c>
      <c r="L298">
        <v>0</v>
      </c>
    </row>
    <row r="299" spans="1:12" x14ac:dyDescent="0.3">
      <c r="A299" t="s">
        <v>490</v>
      </c>
      <c r="B299">
        <v>3</v>
      </c>
      <c r="C299">
        <v>2</v>
      </c>
      <c r="D299" t="s">
        <v>194</v>
      </c>
      <c r="E299">
        <v>4.2935999999999996</v>
      </c>
      <c r="F299">
        <v>1</v>
      </c>
      <c r="G299">
        <v>5</v>
      </c>
      <c r="H299">
        <v>5</v>
      </c>
      <c r="I299">
        <v>0</v>
      </c>
      <c r="J299">
        <v>5</v>
      </c>
      <c r="K299">
        <v>428</v>
      </c>
      <c r="L299">
        <v>0</v>
      </c>
    </row>
    <row r="300" spans="1:12" x14ac:dyDescent="0.3">
      <c r="A300" t="s">
        <v>491</v>
      </c>
      <c r="B300">
        <v>3</v>
      </c>
      <c r="C300">
        <v>2</v>
      </c>
      <c r="D300" t="s">
        <v>194</v>
      </c>
      <c r="E300">
        <v>4.2935999999999996</v>
      </c>
      <c r="F300">
        <v>1</v>
      </c>
      <c r="G300">
        <v>5</v>
      </c>
      <c r="H300">
        <v>5</v>
      </c>
      <c r="I300">
        <v>0</v>
      </c>
      <c r="J300">
        <v>5</v>
      </c>
      <c r="K300">
        <v>428</v>
      </c>
      <c r="L300">
        <v>0</v>
      </c>
    </row>
    <row r="301" spans="1:12" x14ac:dyDescent="0.3">
      <c r="A301" t="s">
        <v>492</v>
      </c>
      <c r="B301">
        <v>3</v>
      </c>
      <c r="C301">
        <v>2</v>
      </c>
      <c r="D301" t="s">
        <v>194</v>
      </c>
      <c r="E301">
        <v>4.2935999999999996</v>
      </c>
      <c r="F301">
        <v>1</v>
      </c>
      <c r="G301">
        <v>5</v>
      </c>
      <c r="H301">
        <v>5</v>
      </c>
      <c r="I301">
        <v>0</v>
      </c>
      <c r="J301">
        <v>5</v>
      </c>
      <c r="K301">
        <v>428</v>
      </c>
      <c r="L301">
        <v>0</v>
      </c>
    </row>
    <row r="302" spans="1:12" x14ac:dyDescent="0.3">
      <c r="A302" t="s">
        <v>493</v>
      </c>
      <c r="B302">
        <v>3</v>
      </c>
      <c r="C302">
        <v>2</v>
      </c>
      <c r="D302" t="s">
        <v>194</v>
      </c>
      <c r="E302">
        <v>4.2935999999999996</v>
      </c>
      <c r="F302">
        <v>1</v>
      </c>
      <c r="G302">
        <v>5</v>
      </c>
      <c r="H302">
        <v>5</v>
      </c>
      <c r="I302">
        <v>0</v>
      </c>
      <c r="J302">
        <v>5</v>
      </c>
      <c r="K302">
        <v>428</v>
      </c>
      <c r="L302">
        <v>0</v>
      </c>
    </row>
    <row r="303" spans="1:12" x14ac:dyDescent="0.3">
      <c r="A303" t="s">
        <v>494</v>
      </c>
      <c r="B303">
        <v>3</v>
      </c>
      <c r="C303">
        <v>2</v>
      </c>
      <c r="D303" t="s">
        <v>194</v>
      </c>
      <c r="E303">
        <v>4.2935999999999996</v>
      </c>
      <c r="F303">
        <v>1</v>
      </c>
      <c r="G303">
        <v>5</v>
      </c>
      <c r="H303">
        <v>5</v>
      </c>
      <c r="I303">
        <v>0</v>
      </c>
      <c r="J303">
        <v>5</v>
      </c>
      <c r="K303">
        <v>428</v>
      </c>
      <c r="L303">
        <v>0</v>
      </c>
    </row>
    <row r="304" spans="1:12" x14ac:dyDescent="0.3">
      <c r="A304" t="s">
        <v>495</v>
      </c>
      <c r="B304">
        <v>3</v>
      </c>
      <c r="C304">
        <v>2</v>
      </c>
      <c r="D304" t="s">
        <v>194</v>
      </c>
      <c r="E304">
        <v>4.2935999999999996</v>
      </c>
      <c r="F304">
        <v>1</v>
      </c>
      <c r="G304">
        <v>5</v>
      </c>
      <c r="H304">
        <v>5</v>
      </c>
      <c r="I304">
        <v>0</v>
      </c>
      <c r="J304">
        <v>5</v>
      </c>
      <c r="K304">
        <v>428</v>
      </c>
      <c r="L304">
        <v>0</v>
      </c>
    </row>
    <row r="305" spans="1:12" x14ac:dyDescent="0.3">
      <c r="A305" t="s">
        <v>496</v>
      </c>
      <c r="B305">
        <v>3</v>
      </c>
      <c r="C305">
        <v>2</v>
      </c>
      <c r="D305" t="s">
        <v>194</v>
      </c>
      <c r="E305">
        <v>4.2935999999999996</v>
      </c>
      <c r="F305">
        <v>1</v>
      </c>
      <c r="G305">
        <v>5</v>
      </c>
      <c r="H305">
        <v>5</v>
      </c>
      <c r="I305">
        <v>0</v>
      </c>
      <c r="J305">
        <v>5</v>
      </c>
      <c r="K305">
        <v>428</v>
      </c>
      <c r="L305">
        <v>0</v>
      </c>
    </row>
    <row r="306" spans="1:12" x14ac:dyDescent="0.3">
      <c r="A306" t="s">
        <v>497</v>
      </c>
      <c r="B306">
        <v>3</v>
      </c>
      <c r="C306">
        <v>2</v>
      </c>
      <c r="D306" t="s">
        <v>194</v>
      </c>
      <c r="E306">
        <v>4.2935999999999996</v>
      </c>
      <c r="F306">
        <v>1</v>
      </c>
      <c r="G306">
        <v>5</v>
      </c>
      <c r="H306">
        <v>5</v>
      </c>
      <c r="I306">
        <v>0</v>
      </c>
      <c r="J306">
        <v>5</v>
      </c>
      <c r="K306">
        <v>428</v>
      </c>
      <c r="L306">
        <v>0</v>
      </c>
    </row>
    <row r="307" spans="1:12" x14ac:dyDescent="0.3">
      <c r="A307" t="s">
        <v>498</v>
      </c>
      <c r="B307">
        <v>3</v>
      </c>
      <c r="C307">
        <v>2</v>
      </c>
      <c r="D307" t="s">
        <v>194</v>
      </c>
      <c r="E307">
        <v>5.9950000000000001</v>
      </c>
      <c r="F307">
        <v>1</v>
      </c>
      <c r="G307">
        <v>5</v>
      </c>
      <c r="H307">
        <v>5</v>
      </c>
      <c r="I307">
        <v>0</v>
      </c>
      <c r="J307">
        <v>9</v>
      </c>
      <c r="K307">
        <v>429</v>
      </c>
      <c r="L307">
        <v>0</v>
      </c>
    </row>
    <row r="308" spans="1:12" x14ac:dyDescent="0.3">
      <c r="A308" t="s">
        <v>499</v>
      </c>
      <c r="B308">
        <v>3</v>
      </c>
      <c r="C308">
        <v>2</v>
      </c>
      <c r="D308" t="s">
        <v>194</v>
      </c>
      <c r="E308">
        <v>4.2935999999999996</v>
      </c>
      <c r="F308">
        <v>1</v>
      </c>
      <c r="G308">
        <v>5</v>
      </c>
      <c r="H308">
        <v>5</v>
      </c>
      <c r="I308">
        <v>0</v>
      </c>
      <c r="J308">
        <v>5</v>
      </c>
      <c r="K308">
        <v>428</v>
      </c>
      <c r="L308">
        <v>0</v>
      </c>
    </row>
    <row r="309" spans="1:12" x14ac:dyDescent="0.3">
      <c r="A309" t="s">
        <v>500</v>
      </c>
      <c r="B309">
        <v>3</v>
      </c>
      <c r="C309">
        <v>2</v>
      </c>
      <c r="D309" t="s">
        <v>194</v>
      </c>
      <c r="E309">
        <v>4.2935999999999996</v>
      </c>
      <c r="F309">
        <v>1</v>
      </c>
      <c r="G309">
        <v>5</v>
      </c>
      <c r="H309">
        <v>5</v>
      </c>
      <c r="I309">
        <v>0</v>
      </c>
      <c r="J309">
        <v>5</v>
      </c>
      <c r="K309">
        <v>428</v>
      </c>
      <c r="L309">
        <v>0</v>
      </c>
    </row>
    <row r="310" spans="1:12" x14ac:dyDescent="0.3">
      <c r="A310" t="s">
        <v>501</v>
      </c>
      <c r="B310">
        <v>3</v>
      </c>
      <c r="C310">
        <v>2</v>
      </c>
      <c r="D310" t="s">
        <v>194</v>
      </c>
      <c r="E310">
        <v>5.9950000000000001</v>
      </c>
      <c r="F310">
        <v>1</v>
      </c>
      <c r="G310">
        <v>5</v>
      </c>
      <c r="H310">
        <v>5</v>
      </c>
      <c r="I310">
        <v>0</v>
      </c>
      <c r="J310">
        <v>9</v>
      </c>
      <c r="K310">
        <v>429</v>
      </c>
      <c r="L310">
        <v>0</v>
      </c>
    </row>
    <row r="311" spans="1:12" x14ac:dyDescent="0.3">
      <c r="A311" t="s">
        <v>502</v>
      </c>
      <c r="B311">
        <v>3</v>
      </c>
      <c r="C311">
        <v>2</v>
      </c>
      <c r="D311" t="s">
        <v>194</v>
      </c>
      <c r="E311">
        <v>4.2935999999999996</v>
      </c>
      <c r="F311">
        <v>1</v>
      </c>
      <c r="G311">
        <v>5</v>
      </c>
      <c r="H311">
        <v>5</v>
      </c>
      <c r="I311">
        <v>0</v>
      </c>
      <c r="J311">
        <v>5</v>
      </c>
      <c r="K311">
        <v>428</v>
      </c>
      <c r="L311">
        <v>0</v>
      </c>
    </row>
    <row r="312" spans="1:12" x14ac:dyDescent="0.3">
      <c r="A312" t="s">
        <v>503</v>
      </c>
      <c r="B312">
        <v>3</v>
      </c>
      <c r="C312">
        <v>2</v>
      </c>
      <c r="D312" t="s">
        <v>194</v>
      </c>
      <c r="E312">
        <v>5.9950000000000001</v>
      </c>
      <c r="F312">
        <v>1</v>
      </c>
      <c r="G312">
        <v>5</v>
      </c>
      <c r="H312">
        <v>5</v>
      </c>
      <c r="I312">
        <v>0</v>
      </c>
      <c r="J312">
        <v>9</v>
      </c>
      <c r="K312">
        <v>429</v>
      </c>
      <c r="L312">
        <v>0</v>
      </c>
    </row>
    <row r="313" spans="1:12" x14ac:dyDescent="0.3">
      <c r="A313" t="s">
        <v>504</v>
      </c>
      <c r="B313">
        <v>3</v>
      </c>
      <c r="C313">
        <v>2</v>
      </c>
      <c r="D313" t="s">
        <v>194</v>
      </c>
      <c r="E313">
        <v>4.2935999999999996</v>
      </c>
      <c r="F313">
        <v>1</v>
      </c>
      <c r="G313">
        <v>5</v>
      </c>
      <c r="H313">
        <v>5</v>
      </c>
      <c r="I313">
        <v>0</v>
      </c>
      <c r="J313">
        <v>5</v>
      </c>
      <c r="K313">
        <v>428</v>
      </c>
      <c r="L313">
        <v>0</v>
      </c>
    </row>
    <row r="314" spans="1:12" x14ac:dyDescent="0.3">
      <c r="A314" t="s">
        <v>505</v>
      </c>
      <c r="B314">
        <v>3</v>
      </c>
      <c r="C314">
        <v>2</v>
      </c>
      <c r="D314" t="s">
        <v>194</v>
      </c>
      <c r="E314">
        <v>5.9950000000000001</v>
      </c>
      <c r="F314">
        <v>1</v>
      </c>
      <c r="G314">
        <v>5</v>
      </c>
      <c r="H314">
        <v>5</v>
      </c>
      <c r="I314">
        <v>0</v>
      </c>
      <c r="J314">
        <v>9</v>
      </c>
      <c r="K314">
        <v>429</v>
      </c>
      <c r="L314">
        <v>0</v>
      </c>
    </row>
    <row r="315" spans="1:12" x14ac:dyDescent="0.3">
      <c r="A315" t="s">
        <v>506</v>
      </c>
      <c r="B315">
        <v>3</v>
      </c>
      <c r="C315">
        <v>2</v>
      </c>
      <c r="D315" t="s">
        <v>194</v>
      </c>
      <c r="E315">
        <v>4.2935999999999996</v>
      </c>
      <c r="F315">
        <v>1</v>
      </c>
      <c r="G315">
        <v>5</v>
      </c>
      <c r="H315">
        <v>5</v>
      </c>
      <c r="I315">
        <v>0</v>
      </c>
      <c r="J315">
        <v>5</v>
      </c>
      <c r="K315">
        <v>428</v>
      </c>
      <c r="L315">
        <v>0</v>
      </c>
    </row>
    <row r="316" spans="1:12" x14ac:dyDescent="0.3">
      <c r="A316" t="s">
        <v>507</v>
      </c>
      <c r="B316">
        <v>3</v>
      </c>
      <c r="C316">
        <v>2</v>
      </c>
      <c r="D316" t="s">
        <v>194</v>
      </c>
      <c r="E316">
        <v>5.9950000000000001</v>
      </c>
      <c r="F316">
        <v>1</v>
      </c>
      <c r="G316">
        <v>5</v>
      </c>
      <c r="H316">
        <v>5</v>
      </c>
      <c r="I316">
        <v>0</v>
      </c>
      <c r="J316">
        <v>9</v>
      </c>
      <c r="K316">
        <v>429</v>
      </c>
      <c r="L316">
        <v>0</v>
      </c>
    </row>
    <row r="317" spans="1:12" x14ac:dyDescent="0.3">
      <c r="A317" t="s">
        <v>508</v>
      </c>
      <c r="B317">
        <v>3</v>
      </c>
      <c r="C317">
        <v>2</v>
      </c>
      <c r="D317" t="s">
        <v>194</v>
      </c>
      <c r="E317">
        <v>5.9950000000000001</v>
      </c>
      <c r="F317">
        <v>1</v>
      </c>
      <c r="G317">
        <v>5</v>
      </c>
      <c r="H317">
        <v>5</v>
      </c>
      <c r="I317">
        <v>0</v>
      </c>
      <c r="J317">
        <v>9</v>
      </c>
      <c r="K317">
        <v>429</v>
      </c>
      <c r="L317">
        <v>0</v>
      </c>
    </row>
    <row r="318" spans="1:12" x14ac:dyDescent="0.3">
      <c r="A318" t="s">
        <v>509</v>
      </c>
      <c r="B318">
        <v>3</v>
      </c>
      <c r="C318">
        <v>2</v>
      </c>
      <c r="D318" t="s">
        <v>194</v>
      </c>
      <c r="E318">
        <v>5.9950000000000001</v>
      </c>
      <c r="F318">
        <v>1</v>
      </c>
      <c r="G318">
        <v>5</v>
      </c>
      <c r="H318">
        <v>5</v>
      </c>
      <c r="I318">
        <v>0</v>
      </c>
      <c r="J318">
        <v>9</v>
      </c>
      <c r="K318">
        <v>429</v>
      </c>
      <c r="L318">
        <v>0</v>
      </c>
    </row>
    <row r="319" spans="1:12" x14ac:dyDescent="0.3">
      <c r="A319" t="s">
        <v>510</v>
      </c>
      <c r="B319">
        <v>3</v>
      </c>
      <c r="C319">
        <v>2</v>
      </c>
      <c r="D319" t="s">
        <v>194</v>
      </c>
      <c r="E319">
        <v>5.9950000000000001</v>
      </c>
      <c r="F319">
        <v>1</v>
      </c>
      <c r="G319">
        <v>5</v>
      </c>
      <c r="H319">
        <v>5</v>
      </c>
      <c r="I319">
        <v>0</v>
      </c>
      <c r="J319">
        <v>9</v>
      </c>
      <c r="K319">
        <v>429</v>
      </c>
      <c r="L319">
        <v>0</v>
      </c>
    </row>
    <row r="320" spans="1:12" x14ac:dyDescent="0.3">
      <c r="A320" t="s">
        <v>511</v>
      </c>
      <c r="B320">
        <v>3</v>
      </c>
      <c r="C320">
        <v>2</v>
      </c>
      <c r="D320" t="s">
        <v>194</v>
      </c>
      <c r="E320">
        <v>4.2935999999999996</v>
      </c>
      <c r="F320">
        <v>1</v>
      </c>
      <c r="G320">
        <v>5</v>
      </c>
      <c r="H320">
        <v>5</v>
      </c>
      <c r="I320">
        <v>0</v>
      </c>
      <c r="J320">
        <v>5</v>
      </c>
      <c r="K320">
        <v>428</v>
      </c>
      <c r="L320">
        <v>0</v>
      </c>
    </row>
    <row r="321" spans="1:12" x14ac:dyDescent="0.3">
      <c r="A321" t="s">
        <v>512</v>
      </c>
      <c r="B321">
        <v>3</v>
      </c>
      <c r="C321">
        <v>2</v>
      </c>
      <c r="D321" t="s">
        <v>194</v>
      </c>
      <c r="E321">
        <v>5.9950000000000001</v>
      </c>
      <c r="F321">
        <v>1</v>
      </c>
      <c r="G321">
        <v>5</v>
      </c>
      <c r="H321">
        <v>5</v>
      </c>
      <c r="I321">
        <v>0</v>
      </c>
      <c r="J321">
        <v>9</v>
      </c>
      <c r="K321">
        <v>429</v>
      </c>
      <c r="L321">
        <v>0</v>
      </c>
    </row>
    <row r="322" spans="1:12" x14ac:dyDescent="0.3">
      <c r="A322" t="s">
        <v>513</v>
      </c>
      <c r="B322">
        <v>3</v>
      </c>
      <c r="C322">
        <v>2</v>
      </c>
      <c r="D322" t="s">
        <v>194</v>
      </c>
      <c r="E322">
        <v>4.4839000000000002</v>
      </c>
      <c r="F322">
        <v>1</v>
      </c>
      <c r="G322">
        <v>5</v>
      </c>
      <c r="H322">
        <v>5</v>
      </c>
      <c r="I322">
        <v>0</v>
      </c>
      <c r="J322">
        <v>5</v>
      </c>
      <c r="K322">
        <v>428</v>
      </c>
      <c r="L322">
        <v>0</v>
      </c>
    </row>
    <row r="323" spans="1:12" x14ac:dyDescent="0.3">
      <c r="A323" t="s">
        <v>514</v>
      </c>
      <c r="B323">
        <v>3</v>
      </c>
      <c r="C323">
        <v>2</v>
      </c>
      <c r="D323" t="s">
        <v>194</v>
      </c>
      <c r="E323">
        <v>5.9950000000000001</v>
      </c>
      <c r="F323">
        <v>1</v>
      </c>
      <c r="G323">
        <v>5</v>
      </c>
      <c r="H323">
        <v>5</v>
      </c>
      <c r="I323">
        <v>0</v>
      </c>
      <c r="J323">
        <v>9</v>
      </c>
      <c r="K323">
        <v>429</v>
      </c>
      <c r="L323">
        <v>0</v>
      </c>
    </row>
    <row r="324" spans="1:12" x14ac:dyDescent="0.3">
      <c r="A324" t="s">
        <v>515</v>
      </c>
      <c r="B324">
        <v>3</v>
      </c>
      <c r="C324">
        <v>2</v>
      </c>
      <c r="D324" t="s">
        <v>194</v>
      </c>
      <c r="E324">
        <v>2.7069999999999999</v>
      </c>
      <c r="F324">
        <v>1</v>
      </c>
      <c r="G324">
        <v>5</v>
      </c>
      <c r="H324">
        <v>5</v>
      </c>
      <c r="I324">
        <v>0</v>
      </c>
      <c r="J324">
        <v>6</v>
      </c>
      <c r="K324">
        <v>428</v>
      </c>
      <c r="L324">
        <v>0</v>
      </c>
    </row>
    <row r="325" spans="1:12" x14ac:dyDescent="0.3">
      <c r="A325" t="s">
        <v>516</v>
      </c>
      <c r="B325">
        <v>3</v>
      </c>
      <c r="C325">
        <v>2</v>
      </c>
      <c r="D325" t="s">
        <v>194</v>
      </c>
      <c r="E325">
        <v>2.7069999999999999</v>
      </c>
      <c r="F325">
        <v>1</v>
      </c>
      <c r="G325">
        <v>5</v>
      </c>
      <c r="H325">
        <v>5</v>
      </c>
      <c r="I325">
        <v>0</v>
      </c>
      <c r="J325">
        <v>6</v>
      </c>
      <c r="K325">
        <v>428</v>
      </c>
      <c r="L325">
        <v>0</v>
      </c>
    </row>
    <row r="326" spans="1:12" x14ac:dyDescent="0.3">
      <c r="A326" t="s">
        <v>517</v>
      </c>
      <c r="B326">
        <v>3</v>
      </c>
      <c r="C326">
        <v>2</v>
      </c>
      <c r="D326" t="s">
        <v>194</v>
      </c>
      <c r="E326">
        <v>5.9950000000000001</v>
      </c>
      <c r="F326">
        <v>1</v>
      </c>
      <c r="G326">
        <v>5</v>
      </c>
      <c r="H326">
        <v>5</v>
      </c>
      <c r="I326">
        <v>0</v>
      </c>
      <c r="J326">
        <v>9</v>
      </c>
      <c r="K326">
        <v>429</v>
      </c>
      <c r="L326">
        <v>0</v>
      </c>
    </row>
    <row r="327" spans="1:12" x14ac:dyDescent="0.3">
      <c r="A327" t="s">
        <v>518</v>
      </c>
      <c r="B327">
        <v>3</v>
      </c>
      <c r="C327">
        <v>2</v>
      </c>
      <c r="D327" t="s">
        <v>194</v>
      </c>
      <c r="E327">
        <v>2.7069999999999999</v>
      </c>
      <c r="F327">
        <v>1</v>
      </c>
      <c r="G327">
        <v>5</v>
      </c>
      <c r="H327">
        <v>5</v>
      </c>
      <c r="I327">
        <v>0</v>
      </c>
      <c r="J327">
        <v>6</v>
      </c>
      <c r="K327">
        <v>428</v>
      </c>
      <c r="L327">
        <v>0</v>
      </c>
    </row>
    <row r="328" spans="1:12" x14ac:dyDescent="0.3">
      <c r="A328" t="s">
        <v>519</v>
      </c>
      <c r="B328">
        <v>3</v>
      </c>
      <c r="C328">
        <v>2</v>
      </c>
      <c r="D328" t="s">
        <v>194</v>
      </c>
      <c r="E328">
        <v>5.9950000000000001</v>
      </c>
      <c r="F328">
        <v>1</v>
      </c>
      <c r="G328">
        <v>5</v>
      </c>
      <c r="H328">
        <v>5</v>
      </c>
      <c r="I328">
        <v>0</v>
      </c>
      <c r="J328">
        <v>9</v>
      </c>
      <c r="K328">
        <v>429</v>
      </c>
      <c r="L328">
        <v>0</v>
      </c>
    </row>
    <row r="329" spans="1:12" x14ac:dyDescent="0.3">
      <c r="A329" t="s">
        <v>520</v>
      </c>
      <c r="B329">
        <v>3</v>
      </c>
      <c r="C329">
        <v>2</v>
      </c>
      <c r="D329" t="s">
        <v>194</v>
      </c>
      <c r="E329">
        <v>5.9950000000000001</v>
      </c>
      <c r="F329">
        <v>1</v>
      </c>
      <c r="G329">
        <v>5</v>
      </c>
      <c r="H329">
        <v>5</v>
      </c>
      <c r="I329">
        <v>0</v>
      </c>
      <c r="J329">
        <v>9</v>
      </c>
      <c r="K329">
        <v>429</v>
      </c>
      <c r="L329">
        <v>0</v>
      </c>
    </row>
    <row r="330" spans="1:12" x14ac:dyDescent="0.3">
      <c r="A330" t="s">
        <v>521</v>
      </c>
      <c r="B330">
        <v>3</v>
      </c>
      <c r="C330">
        <v>2</v>
      </c>
      <c r="D330" t="s">
        <v>194</v>
      </c>
      <c r="E330">
        <v>4.2935999999999996</v>
      </c>
      <c r="F330">
        <v>1</v>
      </c>
      <c r="G330">
        <v>5</v>
      </c>
      <c r="H330">
        <v>5</v>
      </c>
      <c r="I330">
        <v>0</v>
      </c>
      <c r="J330">
        <v>5</v>
      </c>
      <c r="K330">
        <v>428</v>
      </c>
      <c r="L330">
        <v>0</v>
      </c>
    </row>
    <row r="331" spans="1:12" x14ac:dyDescent="0.3">
      <c r="A331" t="s">
        <v>522</v>
      </c>
      <c r="B331">
        <v>3</v>
      </c>
      <c r="C331">
        <v>2</v>
      </c>
      <c r="D331" t="s">
        <v>194</v>
      </c>
      <c r="E331">
        <v>5.9950000000000001</v>
      </c>
      <c r="F331">
        <v>1</v>
      </c>
      <c r="G331">
        <v>5</v>
      </c>
      <c r="H331">
        <v>5</v>
      </c>
      <c r="I331">
        <v>0</v>
      </c>
      <c r="J331">
        <v>9</v>
      </c>
      <c r="K331">
        <v>429</v>
      </c>
      <c r="L331">
        <v>0</v>
      </c>
    </row>
    <row r="332" spans="1:12" x14ac:dyDescent="0.3">
      <c r="A332" t="s">
        <v>523</v>
      </c>
      <c r="B332">
        <v>3</v>
      </c>
      <c r="C332">
        <v>2</v>
      </c>
      <c r="D332" t="s">
        <v>194</v>
      </c>
      <c r="E332">
        <v>4.2935999999999996</v>
      </c>
      <c r="F332">
        <v>1</v>
      </c>
      <c r="G332">
        <v>5</v>
      </c>
      <c r="H332">
        <v>5</v>
      </c>
      <c r="I332">
        <v>0</v>
      </c>
      <c r="J332">
        <v>5</v>
      </c>
      <c r="K332">
        <v>428</v>
      </c>
      <c r="L332">
        <v>0</v>
      </c>
    </row>
    <row r="333" spans="1:12" x14ac:dyDescent="0.3">
      <c r="A333" t="s">
        <v>524</v>
      </c>
      <c r="B333">
        <v>3</v>
      </c>
      <c r="C333">
        <v>2</v>
      </c>
      <c r="D333" t="s">
        <v>194</v>
      </c>
      <c r="E333">
        <v>7.4882999999999997</v>
      </c>
      <c r="F333">
        <v>1</v>
      </c>
      <c r="G333">
        <v>5</v>
      </c>
      <c r="H333">
        <v>5</v>
      </c>
      <c r="I333">
        <v>0</v>
      </c>
      <c r="J333">
        <v>9</v>
      </c>
      <c r="K333">
        <v>679</v>
      </c>
      <c r="L333">
        <v>0</v>
      </c>
    </row>
    <row r="334" spans="1:12" x14ac:dyDescent="0.3">
      <c r="A334" t="s">
        <v>525</v>
      </c>
      <c r="B334">
        <v>3</v>
      </c>
      <c r="C334">
        <v>2</v>
      </c>
      <c r="D334" t="s">
        <v>194</v>
      </c>
      <c r="E334">
        <v>4.2935999999999996</v>
      </c>
      <c r="F334">
        <v>1</v>
      </c>
      <c r="G334">
        <v>5</v>
      </c>
      <c r="H334">
        <v>5</v>
      </c>
      <c r="I334">
        <v>0</v>
      </c>
      <c r="J334">
        <v>5</v>
      </c>
      <c r="K334">
        <v>428</v>
      </c>
      <c r="L334">
        <v>0</v>
      </c>
    </row>
    <row r="335" spans="1:12" x14ac:dyDescent="0.3">
      <c r="A335" t="s">
        <v>526</v>
      </c>
      <c r="B335">
        <v>3</v>
      </c>
      <c r="C335">
        <v>2</v>
      </c>
      <c r="D335" t="s">
        <v>194</v>
      </c>
      <c r="E335">
        <v>4.2935999999999996</v>
      </c>
      <c r="F335">
        <v>1</v>
      </c>
      <c r="G335">
        <v>5</v>
      </c>
      <c r="H335">
        <v>5</v>
      </c>
      <c r="I335">
        <v>0</v>
      </c>
      <c r="J335">
        <v>5</v>
      </c>
      <c r="K335">
        <v>428</v>
      </c>
      <c r="L335">
        <v>0</v>
      </c>
    </row>
    <row r="336" spans="1:12" x14ac:dyDescent="0.3">
      <c r="A336" t="s">
        <v>527</v>
      </c>
      <c r="B336">
        <v>3</v>
      </c>
      <c r="C336">
        <v>2</v>
      </c>
      <c r="D336" t="s">
        <v>194</v>
      </c>
      <c r="E336">
        <v>5.9950000000000001</v>
      </c>
      <c r="F336">
        <v>1</v>
      </c>
      <c r="G336">
        <v>5</v>
      </c>
      <c r="H336">
        <v>5</v>
      </c>
      <c r="I336">
        <v>0</v>
      </c>
      <c r="J336">
        <v>9</v>
      </c>
      <c r="K336">
        <v>429</v>
      </c>
      <c r="L336">
        <v>0</v>
      </c>
    </row>
    <row r="337" spans="1:12" x14ac:dyDescent="0.3">
      <c r="A337" t="s">
        <v>528</v>
      </c>
      <c r="B337">
        <v>3</v>
      </c>
      <c r="C337">
        <v>2</v>
      </c>
      <c r="D337" t="s">
        <v>194</v>
      </c>
      <c r="E337">
        <v>5.9950000000000001</v>
      </c>
      <c r="F337">
        <v>1</v>
      </c>
      <c r="G337">
        <v>5</v>
      </c>
      <c r="H337">
        <v>5</v>
      </c>
      <c r="I337">
        <v>0</v>
      </c>
      <c r="J337">
        <v>9</v>
      </c>
      <c r="K337">
        <v>429</v>
      </c>
      <c r="L337">
        <v>0</v>
      </c>
    </row>
    <row r="338" spans="1:12" x14ac:dyDescent="0.3">
      <c r="A338" t="s">
        <v>529</v>
      </c>
      <c r="B338">
        <v>3</v>
      </c>
      <c r="C338">
        <v>2</v>
      </c>
      <c r="D338" t="s">
        <v>194</v>
      </c>
      <c r="E338">
        <v>4.2935999999999996</v>
      </c>
      <c r="F338">
        <v>1</v>
      </c>
      <c r="G338">
        <v>5</v>
      </c>
      <c r="H338">
        <v>5</v>
      </c>
      <c r="I338">
        <v>0</v>
      </c>
      <c r="J338">
        <v>5</v>
      </c>
      <c r="K338">
        <v>428</v>
      </c>
      <c r="L338">
        <v>0</v>
      </c>
    </row>
    <row r="339" spans="1:12" x14ac:dyDescent="0.3">
      <c r="A339" t="s">
        <v>530</v>
      </c>
      <c r="B339">
        <v>3</v>
      </c>
      <c r="C339">
        <v>2</v>
      </c>
      <c r="D339" t="s">
        <v>194</v>
      </c>
      <c r="E339">
        <v>5.9950000000000001</v>
      </c>
      <c r="F339">
        <v>1</v>
      </c>
      <c r="G339">
        <v>5</v>
      </c>
      <c r="H339">
        <v>5</v>
      </c>
      <c r="I339">
        <v>0</v>
      </c>
      <c r="J339">
        <v>9</v>
      </c>
      <c r="K339">
        <v>429</v>
      </c>
      <c r="L339">
        <v>0</v>
      </c>
    </row>
    <row r="340" spans="1:12" x14ac:dyDescent="0.3">
      <c r="A340" t="s">
        <v>531</v>
      </c>
      <c r="B340">
        <v>3</v>
      </c>
      <c r="C340">
        <v>2</v>
      </c>
      <c r="D340" t="s">
        <v>194</v>
      </c>
      <c r="E340">
        <v>4.4839000000000002</v>
      </c>
      <c r="F340">
        <v>1</v>
      </c>
      <c r="G340">
        <v>5</v>
      </c>
      <c r="H340">
        <v>5</v>
      </c>
      <c r="I340">
        <v>0</v>
      </c>
      <c r="J340">
        <v>5</v>
      </c>
      <c r="K340">
        <v>428</v>
      </c>
      <c r="L340">
        <v>0</v>
      </c>
    </row>
    <row r="341" spans="1:12" x14ac:dyDescent="0.3">
      <c r="A341" t="s">
        <v>532</v>
      </c>
      <c r="B341">
        <v>3</v>
      </c>
      <c r="C341">
        <v>2</v>
      </c>
      <c r="D341" t="s">
        <v>194</v>
      </c>
      <c r="E341">
        <v>5.9950000000000001</v>
      </c>
      <c r="F341">
        <v>1</v>
      </c>
      <c r="G341">
        <v>5</v>
      </c>
      <c r="H341">
        <v>5</v>
      </c>
      <c r="I341">
        <v>0</v>
      </c>
      <c r="J341">
        <v>9</v>
      </c>
      <c r="K341">
        <v>429</v>
      </c>
      <c r="L341">
        <v>0</v>
      </c>
    </row>
    <row r="342" spans="1:12" x14ac:dyDescent="0.3">
      <c r="A342" t="s">
        <v>533</v>
      </c>
      <c r="B342">
        <v>3</v>
      </c>
      <c r="C342">
        <v>2</v>
      </c>
      <c r="D342" t="s">
        <v>194</v>
      </c>
      <c r="E342">
        <v>4.2935999999999996</v>
      </c>
      <c r="F342">
        <v>1</v>
      </c>
      <c r="G342">
        <v>5</v>
      </c>
      <c r="H342">
        <v>5</v>
      </c>
      <c r="I342">
        <v>0</v>
      </c>
      <c r="J342">
        <v>5</v>
      </c>
      <c r="K342">
        <v>428</v>
      </c>
      <c r="L342">
        <v>0</v>
      </c>
    </row>
    <row r="343" spans="1:12" x14ac:dyDescent="0.3">
      <c r="A343" t="s">
        <v>534</v>
      </c>
      <c r="B343">
        <v>3</v>
      </c>
      <c r="C343">
        <v>2</v>
      </c>
      <c r="D343" t="s">
        <v>194</v>
      </c>
      <c r="E343">
        <v>4.2935999999999996</v>
      </c>
      <c r="F343">
        <v>1</v>
      </c>
      <c r="G343">
        <v>5</v>
      </c>
      <c r="H343">
        <v>5</v>
      </c>
      <c r="I343">
        <v>0</v>
      </c>
      <c r="J343">
        <v>5</v>
      </c>
      <c r="K343">
        <v>428</v>
      </c>
      <c r="L343">
        <v>0</v>
      </c>
    </row>
    <row r="344" spans="1:12" x14ac:dyDescent="0.3">
      <c r="A344" t="s">
        <v>535</v>
      </c>
      <c r="B344">
        <v>4</v>
      </c>
      <c r="C344">
        <v>2</v>
      </c>
      <c r="D344" t="s">
        <v>194</v>
      </c>
      <c r="E344">
        <v>3.4899</v>
      </c>
      <c r="F344">
        <v>1</v>
      </c>
      <c r="G344">
        <v>5</v>
      </c>
      <c r="H344">
        <v>5</v>
      </c>
      <c r="I344">
        <v>0</v>
      </c>
      <c r="J344">
        <v>4</v>
      </c>
      <c r="K344">
        <v>681</v>
      </c>
      <c r="L344">
        <v>0</v>
      </c>
    </row>
    <row r="345" spans="1:12" x14ac:dyDescent="0.3">
      <c r="A345" t="s">
        <v>536</v>
      </c>
      <c r="B345">
        <v>4</v>
      </c>
      <c r="C345">
        <v>2</v>
      </c>
      <c r="D345" t="s">
        <v>194</v>
      </c>
      <c r="E345">
        <v>3.49</v>
      </c>
      <c r="F345">
        <v>1</v>
      </c>
      <c r="G345">
        <v>5</v>
      </c>
      <c r="H345">
        <v>5</v>
      </c>
      <c r="I345">
        <v>0</v>
      </c>
      <c r="J345">
        <v>1</v>
      </c>
      <c r="K345">
        <v>681</v>
      </c>
      <c r="L345">
        <v>0</v>
      </c>
    </row>
    <row r="346" spans="1:12" x14ac:dyDescent="0.3">
      <c r="A346" t="s">
        <v>537</v>
      </c>
      <c r="B346">
        <v>3</v>
      </c>
      <c r="C346">
        <v>2</v>
      </c>
      <c r="D346" t="s">
        <v>194</v>
      </c>
      <c r="E346">
        <v>4.7121000000000004</v>
      </c>
      <c r="F346">
        <v>1</v>
      </c>
      <c r="G346">
        <v>5</v>
      </c>
      <c r="H346">
        <v>5</v>
      </c>
      <c r="I346">
        <v>0</v>
      </c>
      <c r="J346">
        <v>5</v>
      </c>
      <c r="K346">
        <v>428</v>
      </c>
      <c r="L346">
        <v>60</v>
      </c>
    </row>
    <row r="347" spans="1:12" x14ac:dyDescent="0.3">
      <c r="A347" t="s">
        <v>538</v>
      </c>
      <c r="B347">
        <v>3</v>
      </c>
      <c r="C347">
        <v>2</v>
      </c>
      <c r="D347" t="s">
        <v>194</v>
      </c>
      <c r="E347">
        <v>4.2935999999999996</v>
      </c>
      <c r="F347">
        <v>1</v>
      </c>
      <c r="G347">
        <v>5</v>
      </c>
      <c r="H347">
        <v>5</v>
      </c>
      <c r="I347">
        <v>0</v>
      </c>
      <c r="J347">
        <v>5</v>
      </c>
      <c r="K347">
        <v>428</v>
      </c>
      <c r="L347">
        <v>0</v>
      </c>
    </row>
    <row r="348" spans="1:12" x14ac:dyDescent="0.3">
      <c r="A348" t="s">
        <v>539</v>
      </c>
      <c r="B348">
        <v>4</v>
      </c>
      <c r="C348">
        <v>2</v>
      </c>
      <c r="D348" t="s">
        <v>194</v>
      </c>
      <c r="E348">
        <v>5.6577999999999999</v>
      </c>
      <c r="F348">
        <v>1</v>
      </c>
      <c r="G348">
        <v>5</v>
      </c>
      <c r="H348">
        <v>5</v>
      </c>
      <c r="I348">
        <v>0</v>
      </c>
      <c r="J348">
        <v>2</v>
      </c>
      <c r="K348">
        <v>681</v>
      </c>
      <c r="L348">
        <v>0</v>
      </c>
    </row>
    <row r="349" spans="1:12" x14ac:dyDescent="0.3">
      <c r="A349" t="s">
        <v>540</v>
      </c>
      <c r="B349">
        <v>4</v>
      </c>
      <c r="C349">
        <v>2</v>
      </c>
      <c r="D349" t="s">
        <v>194</v>
      </c>
      <c r="E349">
        <v>5.66</v>
      </c>
      <c r="F349">
        <v>1</v>
      </c>
      <c r="G349">
        <v>5</v>
      </c>
      <c r="H349">
        <v>5</v>
      </c>
      <c r="I349">
        <v>0</v>
      </c>
      <c r="J349">
        <v>4</v>
      </c>
      <c r="K349">
        <v>681</v>
      </c>
      <c r="L349">
        <v>0</v>
      </c>
    </row>
    <row r="350" spans="1:12" x14ac:dyDescent="0.3">
      <c r="A350" t="s">
        <v>541</v>
      </c>
      <c r="B350">
        <v>4</v>
      </c>
      <c r="C350">
        <v>2</v>
      </c>
      <c r="D350" t="s">
        <v>194</v>
      </c>
      <c r="E350">
        <v>6.2260999999999997</v>
      </c>
      <c r="F350">
        <v>1</v>
      </c>
      <c r="G350">
        <v>5</v>
      </c>
      <c r="H350">
        <v>5</v>
      </c>
      <c r="I350">
        <v>0</v>
      </c>
      <c r="J350">
        <v>4</v>
      </c>
      <c r="K350">
        <v>681</v>
      </c>
      <c r="L350">
        <v>0</v>
      </c>
    </row>
    <row r="351" spans="1:12" x14ac:dyDescent="0.3">
      <c r="A351" t="s">
        <v>542</v>
      </c>
      <c r="B351">
        <v>4</v>
      </c>
      <c r="C351">
        <v>2</v>
      </c>
      <c r="D351" t="s">
        <v>194</v>
      </c>
      <c r="E351">
        <v>6.2262000000000004</v>
      </c>
      <c r="F351">
        <v>1</v>
      </c>
      <c r="G351">
        <v>5</v>
      </c>
      <c r="H351">
        <v>5</v>
      </c>
      <c r="I351">
        <v>0</v>
      </c>
      <c r="J351">
        <v>4</v>
      </c>
      <c r="K351">
        <v>681</v>
      </c>
      <c r="L351">
        <v>0</v>
      </c>
    </row>
    <row r="352" spans="1:12" x14ac:dyDescent="0.3">
      <c r="A352" t="s">
        <v>543</v>
      </c>
      <c r="B352">
        <v>3</v>
      </c>
      <c r="C352">
        <v>2</v>
      </c>
      <c r="D352" t="s">
        <v>194</v>
      </c>
      <c r="E352">
        <v>4.2935999999999996</v>
      </c>
      <c r="F352">
        <v>1</v>
      </c>
      <c r="G352">
        <v>5</v>
      </c>
      <c r="H352">
        <v>5</v>
      </c>
      <c r="I352">
        <v>0</v>
      </c>
      <c r="J352">
        <v>5</v>
      </c>
      <c r="K352">
        <v>428</v>
      </c>
      <c r="L352">
        <v>0</v>
      </c>
    </row>
    <row r="353" spans="1:12" x14ac:dyDescent="0.3">
      <c r="A353" t="s">
        <v>544</v>
      </c>
      <c r="B353">
        <v>3</v>
      </c>
      <c r="C353">
        <v>2</v>
      </c>
      <c r="D353" t="s">
        <v>194</v>
      </c>
      <c r="E353">
        <v>4.2935999999999996</v>
      </c>
      <c r="F353">
        <v>1</v>
      </c>
      <c r="G353">
        <v>5</v>
      </c>
      <c r="H353">
        <v>5</v>
      </c>
      <c r="I353">
        <v>0</v>
      </c>
      <c r="J353">
        <v>5</v>
      </c>
      <c r="K353">
        <v>428</v>
      </c>
      <c r="L353">
        <v>0</v>
      </c>
    </row>
    <row r="354" spans="1:12" x14ac:dyDescent="0.3">
      <c r="A354" t="s">
        <v>545</v>
      </c>
      <c r="B354">
        <v>3</v>
      </c>
      <c r="C354">
        <v>2</v>
      </c>
      <c r="D354" t="s">
        <v>194</v>
      </c>
      <c r="E354">
        <v>4.2935999999999996</v>
      </c>
      <c r="F354">
        <v>1</v>
      </c>
      <c r="G354">
        <v>5</v>
      </c>
      <c r="H354">
        <v>5</v>
      </c>
      <c r="I354">
        <v>0</v>
      </c>
      <c r="J354">
        <v>5</v>
      </c>
      <c r="K354">
        <v>428</v>
      </c>
      <c r="L354">
        <v>0</v>
      </c>
    </row>
    <row r="355" spans="1:12" x14ac:dyDescent="0.3">
      <c r="A355" t="s">
        <v>546</v>
      </c>
      <c r="B355">
        <v>3</v>
      </c>
      <c r="C355">
        <v>2</v>
      </c>
      <c r="D355" t="s">
        <v>194</v>
      </c>
      <c r="E355">
        <v>7.4882999999999997</v>
      </c>
      <c r="F355">
        <v>1</v>
      </c>
      <c r="G355">
        <v>5</v>
      </c>
      <c r="H355">
        <v>5</v>
      </c>
      <c r="I355">
        <v>0</v>
      </c>
      <c r="J355">
        <v>9</v>
      </c>
      <c r="K355">
        <v>679</v>
      </c>
      <c r="L355">
        <v>0</v>
      </c>
    </row>
    <row r="356" spans="1:12" x14ac:dyDescent="0.3">
      <c r="A356" t="s">
        <v>547</v>
      </c>
      <c r="B356">
        <v>3</v>
      </c>
      <c r="C356">
        <v>2</v>
      </c>
      <c r="D356" t="s">
        <v>194</v>
      </c>
      <c r="E356">
        <v>4.2935999999999996</v>
      </c>
      <c r="F356">
        <v>1</v>
      </c>
      <c r="G356">
        <v>5</v>
      </c>
      <c r="H356">
        <v>5</v>
      </c>
      <c r="I356">
        <v>0</v>
      </c>
      <c r="J356">
        <v>5</v>
      </c>
      <c r="K356">
        <v>428</v>
      </c>
      <c r="L356">
        <v>0</v>
      </c>
    </row>
    <row r="357" spans="1:12" x14ac:dyDescent="0.3">
      <c r="A357" t="s">
        <v>548</v>
      </c>
      <c r="B357">
        <v>3</v>
      </c>
      <c r="C357">
        <v>2</v>
      </c>
      <c r="D357" t="s">
        <v>194</v>
      </c>
      <c r="E357">
        <v>4.2935999999999996</v>
      </c>
      <c r="F357">
        <v>1</v>
      </c>
      <c r="G357">
        <v>5</v>
      </c>
      <c r="H357">
        <v>5</v>
      </c>
      <c r="I357">
        <v>0</v>
      </c>
      <c r="J357">
        <v>5</v>
      </c>
      <c r="K357">
        <v>428</v>
      </c>
      <c r="L357">
        <v>0</v>
      </c>
    </row>
    <row r="358" spans="1:12" x14ac:dyDescent="0.3">
      <c r="A358" t="s">
        <v>549</v>
      </c>
      <c r="B358">
        <v>3</v>
      </c>
      <c r="C358">
        <v>2</v>
      </c>
      <c r="D358" t="s">
        <v>194</v>
      </c>
      <c r="E358">
        <v>4.2935999999999996</v>
      </c>
      <c r="F358">
        <v>1</v>
      </c>
      <c r="G358">
        <v>5</v>
      </c>
      <c r="H358">
        <v>5</v>
      </c>
      <c r="I358">
        <v>0</v>
      </c>
      <c r="J358">
        <v>5</v>
      </c>
      <c r="K358">
        <v>428</v>
      </c>
      <c r="L358">
        <v>0</v>
      </c>
    </row>
    <row r="359" spans="1:12" x14ac:dyDescent="0.3">
      <c r="A359" t="s">
        <v>550</v>
      </c>
      <c r="B359">
        <v>3</v>
      </c>
      <c r="C359">
        <v>2</v>
      </c>
      <c r="D359" t="s">
        <v>194</v>
      </c>
      <c r="E359">
        <v>5.35</v>
      </c>
      <c r="F359">
        <v>1</v>
      </c>
      <c r="G359">
        <v>5</v>
      </c>
      <c r="H359">
        <v>5</v>
      </c>
      <c r="I359">
        <v>0</v>
      </c>
      <c r="J359">
        <v>5</v>
      </c>
      <c r="K359">
        <v>428</v>
      </c>
      <c r="L359">
        <v>0</v>
      </c>
    </row>
    <row r="360" spans="1:12" x14ac:dyDescent="0.3">
      <c r="A360" t="s">
        <v>551</v>
      </c>
      <c r="B360">
        <v>3</v>
      </c>
      <c r="C360">
        <v>2</v>
      </c>
      <c r="D360" t="s">
        <v>194</v>
      </c>
      <c r="E360">
        <v>4.2935999999999996</v>
      </c>
      <c r="F360">
        <v>1</v>
      </c>
      <c r="G360">
        <v>5</v>
      </c>
      <c r="H360">
        <v>5</v>
      </c>
      <c r="I360">
        <v>0</v>
      </c>
      <c r="J360">
        <v>5</v>
      </c>
      <c r="K360">
        <v>428</v>
      </c>
      <c r="L360">
        <v>0</v>
      </c>
    </row>
    <row r="361" spans="1:12" x14ac:dyDescent="0.3">
      <c r="A361" t="s">
        <v>552</v>
      </c>
      <c r="B361">
        <v>3</v>
      </c>
      <c r="C361">
        <v>2</v>
      </c>
      <c r="D361" t="s">
        <v>194</v>
      </c>
      <c r="E361">
        <v>4.4839000000000002</v>
      </c>
      <c r="F361">
        <v>1</v>
      </c>
      <c r="G361">
        <v>5</v>
      </c>
      <c r="H361">
        <v>5</v>
      </c>
      <c r="I361">
        <v>0</v>
      </c>
      <c r="J361">
        <v>5</v>
      </c>
      <c r="K361">
        <v>428</v>
      </c>
      <c r="L361">
        <v>0</v>
      </c>
    </row>
    <row r="362" spans="1:12" x14ac:dyDescent="0.3">
      <c r="A362" t="s">
        <v>553</v>
      </c>
      <c r="B362">
        <v>3</v>
      </c>
      <c r="C362">
        <v>2</v>
      </c>
      <c r="D362" t="s">
        <v>194</v>
      </c>
      <c r="E362">
        <v>4.2935999999999996</v>
      </c>
      <c r="F362">
        <v>1</v>
      </c>
      <c r="G362">
        <v>5</v>
      </c>
      <c r="H362">
        <v>5</v>
      </c>
      <c r="I362">
        <v>0</v>
      </c>
      <c r="J362">
        <v>5</v>
      </c>
      <c r="K362">
        <v>428</v>
      </c>
      <c r="L362">
        <v>0</v>
      </c>
    </row>
    <row r="363" spans="1:12" x14ac:dyDescent="0.3">
      <c r="A363" t="s">
        <v>554</v>
      </c>
      <c r="B363">
        <v>3</v>
      </c>
      <c r="C363">
        <v>2</v>
      </c>
      <c r="D363" t="s">
        <v>194</v>
      </c>
      <c r="E363">
        <v>4.2935999999999996</v>
      </c>
      <c r="F363">
        <v>1</v>
      </c>
      <c r="G363">
        <v>5</v>
      </c>
      <c r="H363">
        <v>5</v>
      </c>
      <c r="I363">
        <v>0</v>
      </c>
      <c r="J363">
        <v>5</v>
      </c>
      <c r="K363">
        <v>428</v>
      </c>
      <c r="L363">
        <v>0</v>
      </c>
    </row>
    <row r="364" spans="1:12" x14ac:dyDescent="0.3">
      <c r="A364" t="s">
        <v>555</v>
      </c>
      <c r="B364">
        <v>3</v>
      </c>
      <c r="C364">
        <v>2</v>
      </c>
      <c r="D364" t="s">
        <v>194</v>
      </c>
      <c r="E364">
        <v>4.2935999999999996</v>
      </c>
      <c r="F364">
        <v>1</v>
      </c>
      <c r="G364">
        <v>5</v>
      </c>
      <c r="H364">
        <v>5</v>
      </c>
      <c r="I364">
        <v>0</v>
      </c>
      <c r="J364">
        <v>5</v>
      </c>
      <c r="K364">
        <v>428</v>
      </c>
      <c r="L364">
        <v>0</v>
      </c>
    </row>
    <row r="365" spans="1:12" x14ac:dyDescent="0.3">
      <c r="A365" t="s">
        <v>556</v>
      </c>
      <c r="B365">
        <v>3</v>
      </c>
      <c r="C365">
        <v>2</v>
      </c>
      <c r="D365" t="s">
        <v>194</v>
      </c>
      <c r="E365">
        <v>4.2935999999999996</v>
      </c>
      <c r="F365">
        <v>1</v>
      </c>
      <c r="G365">
        <v>5</v>
      </c>
      <c r="H365">
        <v>5</v>
      </c>
      <c r="I365">
        <v>0</v>
      </c>
      <c r="J365">
        <v>5</v>
      </c>
      <c r="K365">
        <v>428</v>
      </c>
      <c r="L365">
        <v>0</v>
      </c>
    </row>
    <row r="366" spans="1:12" x14ac:dyDescent="0.3">
      <c r="A366" t="s">
        <v>557</v>
      </c>
      <c r="B366">
        <v>3</v>
      </c>
      <c r="C366">
        <v>2</v>
      </c>
      <c r="D366" t="s">
        <v>194</v>
      </c>
      <c r="E366">
        <v>4.4839000000000002</v>
      </c>
      <c r="F366">
        <v>1</v>
      </c>
      <c r="G366">
        <v>5</v>
      </c>
      <c r="H366">
        <v>5</v>
      </c>
      <c r="I366">
        <v>0</v>
      </c>
      <c r="J366">
        <v>5</v>
      </c>
      <c r="K366">
        <v>428</v>
      </c>
      <c r="L366">
        <v>0</v>
      </c>
    </row>
    <row r="367" spans="1:12" x14ac:dyDescent="0.3">
      <c r="A367" t="s">
        <v>558</v>
      </c>
      <c r="B367">
        <v>3</v>
      </c>
      <c r="C367">
        <v>2</v>
      </c>
      <c r="D367" t="s">
        <v>194</v>
      </c>
      <c r="E367">
        <v>4.2935999999999996</v>
      </c>
      <c r="F367">
        <v>1</v>
      </c>
      <c r="G367">
        <v>5</v>
      </c>
      <c r="H367">
        <v>5</v>
      </c>
      <c r="I367">
        <v>0</v>
      </c>
      <c r="J367">
        <v>5</v>
      </c>
      <c r="K367">
        <v>428</v>
      </c>
      <c r="L367">
        <v>0</v>
      </c>
    </row>
    <row r="368" spans="1:12" x14ac:dyDescent="0.3">
      <c r="A368" t="s">
        <v>559</v>
      </c>
      <c r="B368">
        <v>3</v>
      </c>
      <c r="C368">
        <v>2</v>
      </c>
      <c r="D368" t="s">
        <v>194</v>
      </c>
      <c r="E368">
        <v>4.2935999999999996</v>
      </c>
      <c r="F368">
        <v>1</v>
      </c>
      <c r="G368">
        <v>5</v>
      </c>
      <c r="H368">
        <v>5</v>
      </c>
      <c r="I368">
        <v>0</v>
      </c>
      <c r="J368">
        <v>5</v>
      </c>
      <c r="K368">
        <v>428</v>
      </c>
      <c r="L368">
        <v>0</v>
      </c>
    </row>
    <row r="369" spans="1:12" x14ac:dyDescent="0.3">
      <c r="A369" t="s">
        <v>560</v>
      </c>
      <c r="B369">
        <v>3</v>
      </c>
      <c r="C369">
        <v>2</v>
      </c>
      <c r="D369" t="s">
        <v>194</v>
      </c>
      <c r="E369">
        <v>4.2935999999999996</v>
      </c>
      <c r="F369">
        <v>1</v>
      </c>
      <c r="G369">
        <v>5</v>
      </c>
      <c r="H369">
        <v>5</v>
      </c>
      <c r="I369">
        <v>0</v>
      </c>
      <c r="J369">
        <v>5</v>
      </c>
      <c r="K369">
        <v>428</v>
      </c>
      <c r="L369">
        <v>0</v>
      </c>
    </row>
    <row r="370" spans="1:12" x14ac:dyDescent="0.3">
      <c r="A370" t="s">
        <v>561</v>
      </c>
      <c r="B370">
        <v>3</v>
      </c>
      <c r="C370">
        <v>2</v>
      </c>
      <c r="D370" t="s">
        <v>194</v>
      </c>
      <c r="E370">
        <v>4.2935999999999996</v>
      </c>
      <c r="F370">
        <v>1</v>
      </c>
      <c r="G370">
        <v>5</v>
      </c>
      <c r="H370">
        <v>5</v>
      </c>
      <c r="I370">
        <v>0</v>
      </c>
      <c r="J370">
        <v>5</v>
      </c>
      <c r="K370">
        <v>428</v>
      </c>
      <c r="L370">
        <v>0</v>
      </c>
    </row>
    <row r="371" spans="1:12" x14ac:dyDescent="0.3">
      <c r="A371" t="s">
        <v>562</v>
      </c>
      <c r="B371">
        <v>3</v>
      </c>
      <c r="C371">
        <v>2</v>
      </c>
      <c r="D371" t="s">
        <v>194</v>
      </c>
      <c r="E371">
        <v>4.2935999999999996</v>
      </c>
      <c r="F371">
        <v>1</v>
      </c>
      <c r="G371">
        <v>5</v>
      </c>
      <c r="H371">
        <v>5</v>
      </c>
      <c r="I371">
        <v>0</v>
      </c>
      <c r="J371">
        <v>5</v>
      </c>
      <c r="K371">
        <v>428</v>
      </c>
      <c r="L371">
        <v>0</v>
      </c>
    </row>
    <row r="372" spans="1:12" x14ac:dyDescent="0.3">
      <c r="A372" t="s">
        <v>563</v>
      </c>
      <c r="B372">
        <v>3</v>
      </c>
      <c r="C372">
        <v>2</v>
      </c>
      <c r="D372" t="s">
        <v>194</v>
      </c>
      <c r="E372">
        <v>7.4882999999999997</v>
      </c>
      <c r="F372">
        <v>1</v>
      </c>
      <c r="G372">
        <v>5</v>
      </c>
      <c r="H372">
        <v>5</v>
      </c>
      <c r="I372">
        <v>0</v>
      </c>
      <c r="J372">
        <v>9</v>
      </c>
      <c r="K372">
        <v>679</v>
      </c>
      <c r="L372">
        <v>60</v>
      </c>
    </row>
    <row r="373" spans="1:12" x14ac:dyDescent="0.3">
      <c r="A373" t="s">
        <v>564</v>
      </c>
      <c r="B373">
        <v>3</v>
      </c>
      <c r="C373">
        <v>2</v>
      </c>
      <c r="D373" t="s">
        <v>194</v>
      </c>
      <c r="E373">
        <v>5.9950000000000001</v>
      </c>
      <c r="F373">
        <v>1</v>
      </c>
      <c r="G373">
        <v>5</v>
      </c>
      <c r="H373">
        <v>5</v>
      </c>
      <c r="I373">
        <v>0</v>
      </c>
      <c r="J373">
        <v>9</v>
      </c>
      <c r="K373">
        <v>429</v>
      </c>
      <c r="L373">
        <v>0</v>
      </c>
    </row>
    <row r="374" spans="1:12" x14ac:dyDescent="0.3">
      <c r="A374" t="s">
        <v>565</v>
      </c>
      <c r="B374">
        <v>3</v>
      </c>
      <c r="C374">
        <v>2</v>
      </c>
      <c r="D374" t="s">
        <v>194</v>
      </c>
      <c r="E374">
        <v>4.2935999999999996</v>
      </c>
      <c r="F374">
        <v>1</v>
      </c>
      <c r="G374">
        <v>5</v>
      </c>
      <c r="H374">
        <v>5</v>
      </c>
      <c r="I374">
        <v>0</v>
      </c>
      <c r="J374">
        <v>5</v>
      </c>
      <c r="K374">
        <v>428</v>
      </c>
      <c r="L374">
        <v>0</v>
      </c>
    </row>
    <row r="375" spans="1:12" x14ac:dyDescent="0.3">
      <c r="A375" t="s">
        <v>566</v>
      </c>
      <c r="B375">
        <v>3</v>
      </c>
      <c r="C375">
        <v>2</v>
      </c>
      <c r="D375" t="s">
        <v>194</v>
      </c>
      <c r="E375">
        <v>4.2935999999999996</v>
      </c>
      <c r="F375">
        <v>1</v>
      </c>
      <c r="G375">
        <v>5</v>
      </c>
      <c r="H375">
        <v>5</v>
      </c>
      <c r="I375">
        <v>0</v>
      </c>
      <c r="J375">
        <v>5</v>
      </c>
      <c r="K375">
        <v>428</v>
      </c>
      <c r="L375">
        <v>0</v>
      </c>
    </row>
    <row r="376" spans="1:12" x14ac:dyDescent="0.3">
      <c r="A376" t="s">
        <v>567</v>
      </c>
      <c r="B376">
        <v>3</v>
      </c>
      <c r="C376">
        <v>2</v>
      </c>
      <c r="D376" t="s">
        <v>194</v>
      </c>
      <c r="E376">
        <v>4.2935999999999996</v>
      </c>
      <c r="F376">
        <v>1</v>
      </c>
      <c r="G376">
        <v>5</v>
      </c>
      <c r="H376">
        <v>5</v>
      </c>
      <c r="I376">
        <v>0</v>
      </c>
      <c r="J376">
        <v>7</v>
      </c>
      <c r="K376">
        <v>428</v>
      </c>
      <c r="L376">
        <v>0</v>
      </c>
    </row>
    <row r="377" spans="1:12" x14ac:dyDescent="0.3">
      <c r="A377" t="s">
        <v>98</v>
      </c>
      <c r="B377">
        <v>3</v>
      </c>
      <c r="C377">
        <v>2</v>
      </c>
      <c r="D377" t="s">
        <v>194</v>
      </c>
      <c r="E377">
        <v>2.7069999999999999</v>
      </c>
      <c r="F377">
        <v>1</v>
      </c>
      <c r="G377">
        <v>5</v>
      </c>
      <c r="H377">
        <v>5</v>
      </c>
      <c r="I377">
        <v>0</v>
      </c>
      <c r="J377">
        <v>6</v>
      </c>
      <c r="K377">
        <v>428</v>
      </c>
      <c r="L377">
        <v>0</v>
      </c>
    </row>
    <row r="378" spans="1:12" x14ac:dyDescent="0.3">
      <c r="A378" t="s">
        <v>568</v>
      </c>
      <c r="B378">
        <v>3</v>
      </c>
      <c r="C378">
        <v>2</v>
      </c>
      <c r="D378" t="s">
        <v>194</v>
      </c>
      <c r="E378">
        <v>4.4839000000000002</v>
      </c>
      <c r="F378">
        <v>1</v>
      </c>
      <c r="G378">
        <v>5</v>
      </c>
      <c r="H378">
        <v>5</v>
      </c>
      <c r="I378">
        <v>0</v>
      </c>
      <c r="J378">
        <v>5</v>
      </c>
      <c r="K378">
        <v>428</v>
      </c>
      <c r="L378">
        <v>0</v>
      </c>
    </row>
    <row r="379" spans="1:12" x14ac:dyDescent="0.3">
      <c r="A379" t="s">
        <v>569</v>
      </c>
      <c r="B379">
        <v>3</v>
      </c>
      <c r="C379">
        <v>2</v>
      </c>
      <c r="D379" t="s">
        <v>194</v>
      </c>
      <c r="E379">
        <v>4.4839000000000002</v>
      </c>
      <c r="F379">
        <v>1</v>
      </c>
      <c r="G379">
        <v>5</v>
      </c>
      <c r="H379">
        <v>5</v>
      </c>
      <c r="I379">
        <v>0</v>
      </c>
      <c r="J379">
        <v>5</v>
      </c>
      <c r="K379">
        <v>428</v>
      </c>
      <c r="L379">
        <v>0</v>
      </c>
    </row>
    <row r="380" spans="1:12" x14ac:dyDescent="0.3">
      <c r="A380" t="s">
        <v>570</v>
      </c>
      <c r="B380">
        <v>3</v>
      </c>
      <c r="C380">
        <v>2</v>
      </c>
      <c r="D380" t="s">
        <v>194</v>
      </c>
      <c r="E380">
        <v>7.4882999999999997</v>
      </c>
      <c r="F380">
        <v>1</v>
      </c>
      <c r="G380">
        <v>5</v>
      </c>
      <c r="H380">
        <v>5</v>
      </c>
      <c r="I380">
        <v>0</v>
      </c>
      <c r="J380">
        <v>9</v>
      </c>
      <c r="K380">
        <v>679</v>
      </c>
      <c r="L380">
        <v>0</v>
      </c>
    </row>
    <row r="381" spans="1:12" x14ac:dyDescent="0.3">
      <c r="A381" t="s">
        <v>571</v>
      </c>
      <c r="B381">
        <v>3</v>
      </c>
      <c r="C381">
        <v>2</v>
      </c>
      <c r="D381" t="s">
        <v>194</v>
      </c>
      <c r="E381">
        <v>4.2935999999999996</v>
      </c>
      <c r="F381">
        <v>1</v>
      </c>
      <c r="G381">
        <v>5</v>
      </c>
      <c r="H381">
        <v>5</v>
      </c>
      <c r="I381">
        <v>0</v>
      </c>
      <c r="J381">
        <v>7</v>
      </c>
      <c r="K381">
        <v>428</v>
      </c>
      <c r="L381">
        <v>0</v>
      </c>
    </row>
    <row r="382" spans="1:12" x14ac:dyDescent="0.3">
      <c r="A382" t="s">
        <v>572</v>
      </c>
      <c r="B382">
        <v>3</v>
      </c>
      <c r="C382">
        <v>2</v>
      </c>
      <c r="D382" t="s">
        <v>194</v>
      </c>
      <c r="E382">
        <v>4.4839000000000002</v>
      </c>
      <c r="F382">
        <v>1</v>
      </c>
      <c r="G382">
        <v>5</v>
      </c>
      <c r="H382">
        <v>5</v>
      </c>
      <c r="I382">
        <v>0</v>
      </c>
      <c r="J382">
        <v>7</v>
      </c>
      <c r="K382">
        <v>428</v>
      </c>
      <c r="L382">
        <v>0</v>
      </c>
    </row>
    <row r="383" spans="1:12" x14ac:dyDescent="0.3">
      <c r="A383" t="s">
        <v>573</v>
      </c>
      <c r="B383">
        <v>3</v>
      </c>
      <c r="C383">
        <v>2</v>
      </c>
      <c r="D383" t="s">
        <v>194</v>
      </c>
      <c r="E383">
        <v>4.4839000000000002</v>
      </c>
      <c r="F383">
        <v>1</v>
      </c>
      <c r="G383">
        <v>5</v>
      </c>
      <c r="H383">
        <v>5</v>
      </c>
      <c r="I383">
        <v>0</v>
      </c>
      <c r="J383">
        <v>7</v>
      </c>
      <c r="K383">
        <v>428</v>
      </c>
      <c r="L383">
        <v>0</v>
      </c>
    </row>
    <row r="384" spans="1:12" x14ac:dyDescent="0.3">
      <c r="A384" t="s">
        <v>574</v>
      </c>
      <c r="B384">
        <v>3</v>
      </c>
      <c r="C384">
        <v>2</v>
      </c>
      <c r="D384" t="s">
        <v>194</v>
      </c>
      <c r="E384">
        <v>4.2935999999999996</v>
      </c>
      <c r="F384">
        <v>1</v>
      </c>
      <c r="G384">
        <v>5</v>
      </c>
      <c r="H384">
        <v>5</v>
      </c>
      <c r="I384">
        <v>0</v>
      </c>
      <c r="J384">
        <v>5</v>
      </c>
      <c r="K384">
        <v>428</v>
      </c>
      <c r="L384">
        <v>0</v>
      </c>
    </row>
    <row r="385" spans="1:12" x14ac:dyDescent="0.3">
      <c r="A385" t="s">
        <v>575</v>
      </c>
      <c r="B385">
        <v>3</v>
      </c>
      <c r="C385">
        <v>2</v>
      </c>
      <c r="D385" t="s">
        <v>194</v>
      </c>
      <c r="E385">
        <v>4.2935999999999996</v>
      </c>
      <c r="F385">
        <v>1</v>
      </c>
      <c r="G385">
        <v>5</v>
      </c>
      <c r="H385">
        <v>5</v>
      </c>
      <c r="I385">
        <v>0</v>
      </c>
      <c r="J385">
        <v>5</v>
      </c>
      <c r="K385">
        <v>428</v>
      </c>
      <c r="L385">
        <v>0</v>
      </c>
    </row>
    <row r="386" spans="1:12" x14ac:dyDescent="0.3">
      <c r="A386" t="s">
        <v>576</v>
      </c>
      <c r="B386">
        <v>3</v>
      </c>
      <c r="C386">
        <v>2</v>
      </c>
      <c r="D386" t="s">
        <v>194</v>
      </c>
      <c r="E386">
        <v>4.2935999999999996</v>
      </c>
      <c r="F386">
        <v>1</v>
      </c>
      <c r="G386">
        <v>5</v>
      </c>
      <c r="H386">
        <v>5</v>
      </c>
      <c r="I386">
        <v>0</v>
      </c>
      <c r="J386">
        <v>5</v>
      </c>
      <c r="K386">
        <v>428</v>
      </c>
      <c r="L386">
        <v>0</v>
      </c>
    </row>
    <row r="387" spans="1:12" x14ac:dyDescent="0.3">
      <c r="A387" t="s">
        <v>577</v>
      </c>
      <c r="B387">
        <v>3</v>
      </c>
      <c r="C387">
        <v>2</v>
      </c>
      <c r="D387" t="s">
        <v>194</v>
      </c>
      <c r="E387">
        <v>4.4839000000000002</v>
      </c>
      <c r="F387">
        <v>1</v>
      </c>
      <c r="G387">
        <v>5</v>
      </c>
      <c r="H387">
        <v>5</v>
      </c>
      <c r="I387">
        <v>0</v>
      </c>
      <c r="J387">
        <v>5</v>
      </c>
      <c r="K387">
        <v>428</v>
      </c>
      <c r="L387">
        <v>0</v>
      </c>
    </row>
    <row r="388" spans="1:12" x14ac:dyDescent="0.3">
      <c r="A388" t="s">
        <v>578</v>
      </c>
      <c r="B388">
        <v>3</v>
      </c>
      <c r="C388">
        <v>2</v>
      </c>
      <c r="D388" t="s">
        <v>194</v>
      </c>
      <c r="E388">
        <v>5.9950000000000001</v>
      </c>
      <c r="F388">
        <v>1</v>
      </c>
      <c r="G388">
        <v>5</v>
      </c>
      <c r="H388">
        <v>5</v>
      </c>
      <c r="I388">
        <v>0</v>
      </c>
      <c r="J388">
        <v>9</v>
      </c>
      <c r="K388">
        <v>429</v>
      </c>
      <c r="L388">
        <v>0</v>
      </c>
    </row>
    <row r="389" spans="1:12" x14ac:dyDescent="0.3">
      <c r="A389" t="s">
        <v>579</v>
      </c>
      <c r="B389">
        <v>3</v>
      </c>
      <c r="C389">
        <v>2</v>
      </c>
      <c r="D389" t="s">
        <v>194</v>
      </c>
      <c r="E389">
        <v>5.9950000000000001</v>
      </c>
      <c r="F389">
        <v>1</v>
      </c>
      <c r="G389">
        <v>5</v>
      </c>
      <c r="H389">
        <v>5</v>
      </c>
      <c r="I389">
        <v>0</v>
      </c>
      <c r="J389">
        <v>9</v>
      </c>
      <c r="K389">
        <v>429</v>
      </c>
      <c r="L389">
        <v>0</v>
      </c>
    </row>
    <row r="390" spans="1:12" x14ac:dyDescent="0.3">
      <c r="A390" t="s">
        <v>580</v>
      </c>
      <c r="B390">
        <v>3</v>
      </c>
      <c r="C390">
        <v>2</v>
      </c>
      <c r="D390" t="s">
        <v>194</v>
      </c>
      <c r="E390">
        <v>4.2930000000000001</v>
      </c>
      <c r="F390">
        <v>1</v>
      </c>
      <c r="G390">
        <v>5</v>
      </c>
      <c r="H390">
        <v>5</v>
      </c>
      <c r="I390">
        <v>0</v>
      </c>
      <c r="J390">
        <v>5</v>
      </c>
      <c r="K390">
        <v>428</v>
      </c>
      <c r="L390">
        <v>0</v>
      </c>
    </row>
    <row r="391" spans="1:12" x14ac:dyDescent="0.3">
      <c r="A391" t="s">
        <v>581</v>
      </c>
      <c r="B391">
        <v>3</v>
      </c>
      <c r="C391">
        <v>2</v>
      </c>
      <c r="D391" t="s">
        <v>194</v>
      </c>
      <c r="E391">
        <v>4.2930000000000001</v>
      </c>
      <c r="F391">
        <v>1</v>
      </c>
      <c r="G391">
        <v>5</v>
      </c>
      <c r="H391">
        <v>5</v>
      </c>
      <c r="I391">
        <v>0</v>
      </c>
      <c r="J391">
        <v>5</v>
      </c>
      <c r="K391">
        <v>428</v>
      </c>
      <c r="L391">
        <v>0</v>
      </c>
    </row>
    <row r="392" spans="1:12" x14ac:dyDescent="0.3">
      <c r="A392" t="s">
        <v>582</v>
      </c>
      <c r="B392">
        <v>3</v>
      </c>
      <c r="C392">
        <v>2</v>
      </c>
      <c r="D392" t="s">
        <v>194</v>
      </c>
      <c r="E392">
        <v>5.3518999999999997</v>
      </c>
      <c r="F392">
        <v>1</v>
      </c>
      <c r="G392">
        <v>5</v>
      </c>
      <c r="H392">
        <v>5</v>
      </c>
      <c r="I392">
        <v>0</v>
      </c>
      <c r="J392">
        <v>5</v>
      </c>
      <c r="K392">
        <v>428</v>
      </c>
      <c r="L392">
        <v>0</v>
      </c>
    </row>
    <row r="393" spans="1:12" x14ac:dyDescent="0.3">
      <c r="A393" t="s">
        <v>583</v>
      </c>
      <c r="B393">
        <v>3</v>
      </c>
      <c r="C393">
        <v>2</v>
      </c>
      <c r="D393" t="s">
        <v>194</v>
      </c>
      <c r="E393">
        <v>4.2935999999999996</v>
      </c>
      <c r="F393">
        <v>1</v>
      </c>
      <c r="G393">
        <v>5</v>
      </c>
      <c r="H393">
        <v>5</v>
      </c>
      <c r="I393">
        <v>0</v>
      </c>
      <c r="J393">
        <v>5</v>
      </c>
      <c r="K393">
        <v>428</v>
      </c>
      <c r="L393">
        <v>0</v>
      </c>
    </row>
    <row r="394" spans="1:12" x14ac:dyDescent="0.3">
      <c r="A394" t="s">
        <v>584</v>
      </c>
      <c r="B394">
        <v>3</v>
      </c>
      <c r="C394">
        <v>2</v>
      </c>
      <c r="D394" t="s">
        <v>194</v>
      </c>
      <c r="E394">
        <v>4.2935999999999996</v>
      </c>
      <c r="F394">
        <v>1</v>
      </c>
      <c r="G394">
        <v>5</v>
      </c>
      <c r="H394">
        <v>5</v>
      </c>
      <c r="I394">
        <v>0</v>
      </c>
      <c r="J394">
        <v>5</v>
      </c>
      <c r="K394">
        <v>428</v>
      </c>
      <c r="L394">
        <v>0</v>
      </c>
    </row>
    <row r="395" spans="1:12" x14ac:dyDescent="0.3">
      <c r="A395" t="s">
        <v>585</v>
      </c>
      <c r="B395">
        <v>3</v>
      </c>
      <c r="C395">
        <v>2</v>
      </c>
      <c r="D395" t="s">
        <v>194</v>
      </c>
      <c r="E395">
        <v>4.2935999999999996</v>
      </c>
      <c r="F395">
        <v>1</v>
      </c>
      <c r="G395">
        <v>5</v>
      </c>
      <c r="H395">
        <v>5</v>
      </c>
      <c r="I395">
        <v>0</v>
      </c>
      <c r="J395">
        <v>5</v>
      </c>
      <c r="K395">
        <v>428</v>
      </c>
      <c r="L395">
        <v>0</v>
      </c>
    </row>
    <row r="396" spans="1:12" x14ac:dyDescent="0.3">
      <c r="A396" t="s">
        <v>586</v>
      </c>
      <c r="B396">
        <v>3</v>
      </c>
      <c r="C396">
        <v>2</v>
      </c>
      <c r="D396" t="s">
        <v>194</v>
      </c>
      <c r="E396">
        <v>7.4882999999999997</v>
      </c>
      <c r="F396">
        <v>1</v>
      </c>
      <c r="G396">
        <v>5</v>
      </c>
      <c r="H396">
        <v>5</v>
      </c>
      <c r="I396">
        <v>0</v>
      </c>
      <c r="J396">
        <v>9</v>
      </c>
      <c r="K396">
        <v>679</v>
      </c>
      <c r="L396">
        <v>0</v>
      </c>
    </row>
    <row r="397" spans="1:12" x14ac:dyDescent="0.3">
      <c r="A397" t="s">
        <v>587</v>
      </c>
      <c r="B397">
        <v>3</v>
      </c>
      <c r="C397">
        <v>2</v>
      </c>
      <c r="D397" t="s">
        <v>194</v>
      </c>
      <c r="E397">
        <v>4.2950999999999997</v>
      </c>
      <c r="F397">
        <v>1</v>
      </c>
      <c r="G397">
        <v>5</v>
      </c>
      <c r="H397">
        <v>5</v>
      </c>
      <c r="I397">
        <v>0</v>
      </c>
      <c r="J397">
        <v>5</v>
      </c>
      <c r="K397">
        <v>428</v>
      </c>
      <c r="L397">
        <v>0</v>
      </c>
    </row>
    <row r="398" spans="1:12" x14ac:dyDescent="0.3">
      <c r="A398" t="s">
        <v>588</v>
      </c>
      <c r="B398">
        <v>3</v>
      </c>
      <c r="C398">
        <v>2</v>
      </c>
      <c r="D398" t="s">
        <v>194</v>
      </c>
      <c r="E398">
        <v>7.4882999999999997</v>
      </c>
      <c r="F398">
        <v>1</v>
      </c>
      <c r="G398">
        <v>5</v>
      </c>
      <c r="H398">
        <v>5</v>
      </c>
      <c r="I398">
        <v>0</v>
      </c>
      <c r="J398">
        <v>9</v>
      </c>
      <c r="K398">
        <v>679</v>
      </c>
      <c r="L398">
        <v>0</v>
      </c>
    </row>
    <row r="399" spans="1:12" x14ac:dyDescent="0.3">
      <c r="A399" t="s">
        <v>589</v>
      </c>
      <c r="B399">
        <v>3</v>
      </c>
      <c r="C399">
        <v>2</v>
      </c>
      <c r="D399" t="s">
        <v>194</v>
      </c>
      <c r="E399">
        <v>4.2935999999999996</v>
      </c>
      <c r="F399">
        <v>1</v>
      </c>
      <c r="G399">
        <v>5</v>
      </c>
      <c r="H399">
        <v>5</v>
      </c>
      <c r="I399">
        <v>0</v>
      </c>
      <c r="J399">
        <v>5</v>
      </c>
      <c r="K399">
        <v>428</v>
      </c>
      <c r="L399">
        <v>0</v>
      </c>
    </row>
    <row r="400" spans="1:12" x14ac:dyDescent="0.3">
      <c r="A400" t="s">
        <v>590</v>
      </c>
      <c r="B400">
        <v>3</v>
      </c>
      <c r="C400">
        <v>2</v>
      </c>
      <c r="D400" t="s">
        <v>194</v>
      </c>
      <c r="E400">
        <v>4.2935999999999996</v>
      </c>
      <c r="F400">
        <v>1</v>
      </c>
      <c r="G400">
        <v>5</v>
      </c>
      <c r="H400">
        <v>5</v>
      </c>
      <c r="I400">
        <v>0</v>
      </c>
      <c r="J400">
        <v>5</v>
      </c>
      <c r="K400">
        <v>428</v>
      </c>
      <c r="L400">
        <v>0</v>
      </c>
    </row>
    <row r="401" spans="1:12" x14ac:dyDescent="0.3">
      <c r="A401" t="s">
        <v>591</v>
      </c>
      <c r="B401">
        <v>3</v>
      </c>
      <c r="C401">
        <v>2</v>
      </c>
      <c r="D401" t="s">
        <v>194</v>
      </c>
      <c r="E401">
        <v>4.2935999999999996</v>
      </c>
      <c r="F401">
        <v>1</v>
      </c>
      <c r="G401">
        <v>5</v>
      </c>
      <c r="H401">
        <v>5</v>
      </c>
      <c r="I401">
        <v>0</v>
      </c>
      <c r="J401">
        <v>5</v>
      </c>
      <c r="K401">
        <v>428</v>
      </c>
      <c r="L401">
        <v>0</v>
      </c>
    </row>
    <row r="402" spans="1:12" x14ac:dyDescent="0.3">
      <c r="A402" t="s">
        <v>592</v>
      </c>
      <c r="B402">
        <v>3</v>
      </c>
      <c r="C402">
        <v>2</v>
      </c>
      <c r="D402" t="s">
        <v>194</v>
      </c>
      <c r="E402">
        <v>4.2935999999999996</v>
      </c>
      <c r="F402">
        <v>1</v>
      </c>
      <c r="G402">
        <v>5</v>
      </c>
      <c r="H402">
        <v>5</v>
      </c>
      <c r="I402">
        <v>0</v>
      </c>
      <c r="J402">
        <v>5</v>
      </c>
      <c r="K402">
        <v>428</v>
      </c>
      <c r="L402">
        <v>0</v>
      </c>
    </row>
    <row r="403" spans="1:12" x14ac:dyDescent="0.3">
      <c r="A403" t="s">
        <v>593</v>
      </c>
      <c r="B403">
        <v>3</v>
      </c>
      <c r="C403">
        <v>2</v>
      </c>
      <c r="D403" t="s">
        <v>194</v>
      </c>
      <c r="E403">
        <v>7.4882999999999997</v>
      </c>
      <c r="F403">
        <v>1</v>
      </c>
      <c r="G403">
        <v>5</v>
      </c>
      <c r="H403">
        <v>5</v>
      </c>
      <c r="I403">
        <v>0</v>
      </c>
      <c r="J403">
        <v>9</v>
      </c>
      <c r="K403">
        <v>679</v>
      </c>
      <c r="L403">
        <v>0</v>
      </c>
    </row>
    <row r="404" spans="1:12" x14ac:dyDescent="0.3">
      <c r="A404" t="s">
        <v>594</v>
      </c>
      <c r="B404">
        <v>3</v>
      </c>
      <c r="C404">
        <v>2</v>
      </c>
      <c r="D404" t="s">
        <v>194</v>
      </c>
      <c r="E404">
        <v>5.9950000000000001</v>
      </c>
      <c r="F404">
        <v>1</v>
      </c>
      <c r="G404">
        <v>5</v>
      </c>
      <c r="H404">
        <v>5</v>
      </c>
      <c r="I404">
        <v>0</v>
      </c>
      <c r="J404">
        <v>9</v>
      </c>
      <c r="K404">
        <v>429</v>
      </c>
      <c r="L404">
        <v>0</v>
      </c>
    </row>
    <row r="405" spans="1:12" x14ac:dyDescent="0.3">
      <c r="A405" t="s">
        <v>595</v>
      </c>
      <c r="B405">
        <v>3</v>
      </c>
      <c r="C405">
        <v>2</v>
      </c>
      <c r="D405" t="s">
        <v>194</v>
      </c>
      <c r="E405">
        <v>5.9950000000000001</v>
      </c>
      <c r="F405">
        <v>1</v>
      </c>
      <c r="G405">
        <v>5</v>
      </c>
      <c r="H405">
        <v>5</v>
      </c>
      <c r="I405">
        <v>0</v>
      </c>
      <c r="J405">
        <v>9</v>
      </c>
      <c r="K405">
        <v>429</v>
      </c>
      <c r="L405">
        <v>0</v>
      </c>
    </row>
    <row r="406" spans="1:12" x14ac:dyDescent="0.3">
      <c r="A406" t="s">
        <v>596</v>
      </c>
      <c r="B406">
        <v>3</v>
      </c>
      <c r="C406">
        <v>2</v>
      </c>
      <c r="D406" t="s">
        <v>194</v>
      </c>
      <c r="E406">
        <v>5.9950000000000001</v>
      </c>
      <c r="F406">
        <v>1</v>
      </c>
      <c r="G406">
        <v>5</v>
      </c>
      <c r="H406">
        <v>5</v>
      </c>
      <c r="I406">
        <v>0</v>
      </c>
      <c r="J406">
        <v>9</v>
      </c>
      <c r="K406">
        <v>429</v>
      </c>
      <c r="L406">
        <v>0</v>
      </c>
    </row>
    <row r="407" spans="1:12" x14ac:dyDescent="0.3">
      <c r="A407" t="s">
        <v>597</v>
      </c>
      <c r="B407">
        <v>3</v>
      </c>
      <c r="C407">
        <v>2</v>
      </c>
      <c r="D407" t="s">
        <v>194</v>
      </c>
      <c r="E407">
        <v>7.4882999999999997</v>
      </c>
      <c r="F407">
        <v>1</v>
      </c>
      <c r="G407">
        <v>5</v>
      </c>
      <c r="H407">
        <v>5</v>
      </c>
      <c r="I407">
        <v>0</v>
      </c>
      <c r="J407">
        <v>9</v>
      </c>
      <c r="K407">
        <v>679</v>
      </c>
      <c r="L407">
        <v>0</v>
      </c>
    </row>
    <row r="408" spans="1:12" x14ac:dyDescent="0.3">
      <c r="A408" t="s">
        <v>598</v>
      </c>
      <c r="B408">
        <v>3</v>
      </c>
      <c r="C408">
        <v>2</v>
      </c>
      <c r="D408" t="s">
        <v>194</v>
      </c>
      <c r="E408">
        <v>5.9950000000000001</v>
      </c>
      <c r="F408">
        <v>1</v>
      </c>
      <c r="G408">
        <v>5</v>
      </c>
      <c r="H408">
        <v>5</v>
      </c>
      <c r="I408">
        <v>0</v>
      </c>
      <c r="J408">
        <v>9</v>
      </c>
      <c r="K408">
        <v>429</v>
      </c>
      <c r="L408">
        <v>0</v>
      </c>
    </row>
    <row r="409" spans="1:12" x14ac:dyDescent="0.3">
      <c r="A409" t="s">
        <v>599</v>
      </c>
      <c r="B409">
        <v>3</v>
      </c>
      <c r="C409">
        <v>2</v>
      </c>
      <c r="D409" t="s">
        <v>194</v>
      </c>
      <c r="E409">
        <v>5.9950000000000001</v>
      </c>
      <c r="F409">
        <v>1</v>
      </c>
      <c r="G409">
        <v>5</v>
      </c>
      <c r="H409">
        <v>5</v>
      </c>
      <c r="I409">
        <v>0</v>
      </c>
      <c r="J409">
        <v>9</v>
      </c>
      <c r="K409">
        <v>429</v>
      </c>
      <c r="L409">
        <v>0</v>
      </c>
    </row>
    <row r="410" spans="1:12" x14ac:dyDescent="0.3">
      <c r="A410" t="s">
        <v>600</v>
      </c>
      <c r="B410">
        <v>3</v>
      </c>
      <c r="C410">
        <v>2</v>
      </c>
      <c r="D410" t="s">
        <v>194</v>
      </c>
      <c r="E410">
        <v>4.4839000000000002</v>
      </c>
      <c r="F410">
        <v>1</v>
      </c>
      <c r="G410">
        <v>5</v>
      </c>
      <c r="H410">
        <v>5</v>
      </c>
      <c r="I410">
        <v>0</v>
      </c>
      <c r="J410">
        <v>5</v>
      </c>
      <c r="K410">
        <v>428</v>
      </c>
      <c r="L410">
        <v>0</v>
      </c>
    </row>
    <row r="411" spans="1:12" x14ac:dyDescent="0.3">
      <c r="A411" t="s">
        <v>601</v>
      </c>
      <c r="B411">
        <v>3</v>
      </c>
      <c r="C411">
        <v>2</v>
      </c>
      <c r="D411" t="s">
        <v>194</v>
      </c>
      <c r="E411">
        <v>4.2950999999999997</v>
      </c>
      <c r="F411">
        <v>1</v>
      </c>
      <c r="G411">
        <v>5</v>
      </c>
      <c r="H411">
        <v>5</v>
      </c>
      <c r="I411">
        <v>0</v>
      </c>
      <c r="J411">
        <v>5</v>
      </c>
      <c r="K411">
        <v>428</v>
      </c>
      <c r="L411">
        <v>0</v>
      </c>
    </row>
    <row r="412" spans="1:12" x14ac:dyDescent="0.3">
      <c r="A412" t="s">
        <v>602</v>
      </c>
      <c r="B412">
        <v>3</v>
      </c>
      <c r="C412">
        <v>2</v>
      </c>
      <c r="D412" t="s">
        <v>194</v>
      </c>
      <c r="E412">
        <v>5.9950000000000001</v>
      </c>
      <c r="F412">
        <v>1</v>
      </c>
      <c r="G412">
        <v>5</v>
      </c>
      <c r="H412">
        <v>5</v>
      </c>
      <c r="I412">
        <v>0</v>
      </c>
      <c r="J412">
        <v>9</v>
      </c>
      <c r="K412">
        <v>429</v>
      </c>
      <c r="L412">
        <v>0</v>
      </c>
    </row>
    <row r="413" spans="1:12" x14ac:dyDescent="0.3">
      <c r="A413" t="s">
        <v>603</v>
      </c>
      <c r="B413">
        <v>3</v>
      </c>
      <c r="C413">
        <v>2</v>
      </c>
      <c r="D413" t="s">
        <v>194</v>
      </c>
      <c r="E413">
        <v>7.4882999999999997</v>
      </c>
      <c r="F413">
        <v>1</v>
      </c>
      <c r="G413">
        <v>5</v>
      </c>
      <c r="H413">
        <v>5</v>
      </c>
      <c r="I413">
        <v>0</v>
      </c>
      <c r="J413">
        <v>9</v>
      </c>
      <c r="K413">
        <v>679</v>
      </c>
      <c r="L413">
        <v>0</v>
      </c>
    </row>
    <row r="414" spans="1:12" x14ac:dyDescent="0.3">
      <c r="A414" t="s">
        <v>604</v>
      </c>
      <c r="B414">
        <v>3</v>
      </c>
      <c r="C414">
        <v>2</v>
      </c>
      <c r="D414" t="s">
        <v>194</v>
      </c>
      <c r="E414">
        <v>5.8</v>
      </c>
      <c r="F414">
        <v>1</v>
      </c>
      <c r="G414">
        <v>5</v>
      </c>
      <c r="H414">
        <v>5</v>
      </c>
      <c r="I414">
        <v>0</v>
      </c>
      <c r="J414">
        <v>5</v>
      </c>
      <c r="K414">
        <v>428</v>
      </c>
      <c r="L414">
        <v>0</v>
      </c>
    </row>
    <row r="415" spans="1:12" x14ac:dyDescent="0.3">
      <c r="A415" t="s">
        <v>605</v>
      </c>
      <c r="B415">
        <v>3</v>
      </c>
      <c r="C415">
        <v>2</v>
      </c>
      <c r="D415" t="s">
        <v>194</v>
      </c>
      <c r="E415">
        <v>4.4839000000000002</v>
      </c>
      <c r="F415">
        <v>1</v>
      </c>
      <c r="G415">
        <v>5</v>
      </c>
      <c r="H415">
        <v>5</v>
      </c>
      <c r="I415">
        <v>0</v>
      </c>
      <c r="J415">
        <v>5</v>
      </c>
      <c r="K415">
        <v>428</v>
      </c>
      <c r="L415">
        <v>0</v>
      </c>
    </row>
    <row r="416" spans="1:12" x14ac:dyDescent="0.3">
      <c r="A416" t="s">
        <v>606</v>
      </c>
      <c r="B416">
        <v>3</v>
      </c>
      <c r="C416">
        <v>2</v>
      </c>
      <c r="D416" t="s">
        <v>194</v>
      </c>
      <c r="E416">
        <v>4.2935999999999996</v>
      </c>
      <c r="F416">
        <v>1</v>
      </c>
      <c r="G416">
        <v>5</v>
      </c>
      <c r="H416">
        <v>5</v>
      </c>
      <c r="I416">
        <v>0</v>
      </c>
      <c r="J416">
        <v>5</v>
      </c>
      <c r="K416">
        <v>428</v>
      </c>
      <c r="L416">
        <v>0</v>
      </c>
    </row>
    <row r="417" spans="1:12" x14ac:dyDescent="0.3">
      <c r="A417" t="s">
        <v>607</v>
      </c>
      <c r="B417">
        <v>3</v>
      </c>
      <c r="C417">
        <v>2</v>
      </c>
      <c r="D417" t="s">
        <v>194</v>
      </c>
      <c r="E417">
        <v>5.0707000000000004</v>
      </c>
      <c r="F417">
        <v>1</v>
      </c>
      <c r="G417">
        <v>5</v>
      </c>
      <c r="H417">
        <v>5</v>
      </c>
      <c r="I417">
        <v>0</v>
      </c>
      <c r="J417">
        <v>7</v>
      </c>
      <c r="K417">
        <v>428</v>
      </c>
      <c r="L417">
        <v>0</v>
      </c>
    </row>
    <row r="418" spans="1:12" x14ac:dyDescent="0.3">
      <c r="A418" t="s">
        <v>608</v>
      </c>
      <c r="B418">
        <v>3</v>
      </c>
      <c r="C418">
        <v>2</v>
      </c>
      <c r="D418" t="s">
        <v>194</v>
      </c>
      <c r="E418">
        <v>5.3517999999999999</v>
      </c>
      <c r="F418">
        <v>1</v>
      </c>
      <c r="G418">
        <v>5</v>
      </c>
      <c r="H418">
        <v>5</v>
      </c>
      <c r="I418">
        <v>0</v>
      </c>
      <c r="J418">
        <v>5</v>
      </c>
      <c r="K418">
        <v>428</v>
      </c>
      <c r="L418">
        <v>0</v>
      </c>
    </row>
    <row r="419" spans="1:12" x14ac:dyDescent="0.3">
      <c r="A419" t="s">
        <v>609</v>
      </c>
      <c r="B419">
        <v>3</v>
      </c>
      <c r="C419">
        <v>2</v>
      </c>
      <c r="D419" t="s">
        <v>194</v>
      </c>
      <c r="E419">
        <v>5.0707000000000004</v>
      </c>
      <c r="F419">
        <v>1</v>
      </c>
      <c r="G419">
        <v>5</v>
      </c>
      <c r="H419">
        <v>5</v>
      </c>
      <c r="I419">
        <v>0</v>
      </c>
      <c r="J419">
        <v>5</v>
      </c>
      <c r="K419">
        <v>428</v>
      </c>
      <c r="L419">
        <v>0</v>
      </c>
    </row>
    <row r="420" spans="1:12" x14ac:dyDescent="0.3">
      <c r="A420" t="s">
        <v>610</v>
      </c>
      <c r="B420">
        <v>3</v>
      </c>
      <c r="C420">
        <v>2</v>
      </c>
      <c r="D420" t="s">
        <v>194</v>
      </c>
      <c r="E420">
        <v>4.2935999999999996</v>
      </c>
      <c r="F420">
        <v>1</v>
      </c>
      <c r="G420">
        <v>5</v>
      </c>
      <c r="H420">
        <v>5</v>
      </c>
      <c r="I420">
        <v>0</v>
      </c>
      <c r="J420">
        <v>5</v>
      </c>
      <c r="K420">
        <v>428</v>
      </c>
      <c r="L420">
        <v>0</v>
      </c>
    </row>
    <row r="421" spans="1:12" x14ac:dyDescent="0.3">
      <c r="A421" t="s">
        <v>611</v>
      </c>
      <c r="B421">
        <v>3</v>
      </c>
      <c r="C421">
        <v>2</v>
      </c>
      <c r="D421" t="s">
        <v>194</v>
      </c>
      <c r="E421">
        <v>2.7069999999999999</v>
      </c>
      <c r="F421">
        <v>1</v>
      </c>
      <c r="G421">
        <v>5</v>
      </c>
      <c r="H421">
        <v>5</v>
      </c>
      <c r="I421">
        <v>0</v>
      </c>
      <c r="J421">
        <v>5</v>
      </c>
      <c r="K421">
        <v>428</v>
      </c>
      <c r="L421">
        <v>0</v>
      </c>
    </row>
    <row r="422" spans="1:12" x14ac:dyDescent="0.3">
      <c r="A422" t="s">
        <v>612</v>
      </c>
      <c r="B422">
        <v>3</v>
      </c>
      <c r="C422">
        <v>2</v>
      </c>
      <c r="D422" t="s">
        <v>194</v>
      </c>
      <c r="E422">
        <v>4.4839000000000002</v>
      </c>
      <c r="F422">
        <v>1</v>
      </c>
      <c r="G422">
        <v>5</v>
      </c>
      <c r="H422">
        <v>5</v>
      </c>
      <c r="I422">
        <v>0</v>
      </c>
      <c r="J422">
        <v>5</v>
      </c>
      <c r="K422">
        <v>428</v>
      </c>
      <c r="L422">
        <v>0</v>
      </c>
    </row>
    <row r="423" spans="1:12" x14ac:dyDescent="0.3">
      <c r="A423" t="s">
        <v>613</v>
      </c>
      <c r="B423">
        <v>3</v>
      </c>
      <c r="C423">
        <v>2</v>
      </c>
      <c r="D423" t="s">
        <v>194</v>
      </c>
      <c r="E423">
        <v>7.4882999999999997</v>
      </c>
      <c r="F423">
        <v>1</v>
      </c>
      <c r="G423">
        <v>5</v>
      </c>
      <c r="H423">
        <v>5</v>
      </c>
      <c r="I423">
        <v>0</v>
      </c>
      <c r="J423">
        <v>9</v>
      </c>
      <c r="K423">
        <v>679</v>
      </c>
      <c r="L423">
        <v>0</v>
      </c>
    </row>
    <row r="424" spans="1:12" x14ac:dyDescent="0.3">
      <c r="A424" t="s">
        <v>614</v>
      </c>
      <c r="B424">
        <v>3</v>
      </c>
      <c r="C424">
        <v>2</v>
      </c>
      <c r="D424" t="s">
        <v>194</v>
      </c>
      <c r="E424">
        <v>5.3518999999999997</v>
      </c>
      <c r="F424">
        <v>1</v>
      </c>
      <c r="G424">
        <v>5</v>
      </c>
      <c r="H424">
        <v>5</v>
      </c>
      <c r="I424">
        <v>0</v>
      </c>
      <c r="J424">
        <v>5</v>
      </c>
      <c r="K424">
        <v>428</v>
      </c>
      <c r="L424">
        <v>0</v>
      </c>
    </row>
    <row r="425" spans="1:12" x14ac:dyDescent="0.3">
      <c r="A425" t="s">
        <v>615</v>
      </c>
      <c r="B425">
        <v>3</v>
      </c>
      <c r="C425">
        <v>2</v>
      </c>
      <c r="D425" t="s">
        <v>194</v>
      </c>
      <c r="E425">
        <v>5.0707000000000004</v>
      </c>
      <c r="F425">
        <v>1</v>
      </c>
      <c r="G425">
        <v>5</v>
      </c>
      <c r="H425">
        <v>5</v>
      </c>
      <c r="I425">
        <v>0</v>
      </c>
      <c r="J425">
        <v>5</v>
      </c>
      <c r="K425">
        <v>428</v>
      </c>
      <c r="L425">
        <v>0</v>
      </c>
    </row>
    <row r="426" spans="1:12" x14ac:dyDescent="0.3">
      <c r="A426" t="s">
        <v>616</v>
      </c>
      <c r="B426">
        <v>3</v>
      </c>
      <c r="C426">
        <v>2</v>
      </c>
      <c r="D426" t="s">
        <v>194</v>
      </c>
      <c r="E426">
        <v>5.351</v>
      </c>
      <c r="F426">
        <v>1</v>
      </c>
      <c r="G426">
        <v>5</v>
      </c>
      <c r="H426">
        <v>5</v>
      </c>
      <c r="I426">
        <v>0</v>
      </c>
      <c r="J426">
        <v>5</v>
      </c>
      <c r="K426">
        <v>428</v>
      </c>
      <c r="L426">
        <v>0</v>
      </c>
    </row>
    <row r="427" spans="1:12" x14ac:dyDescent="0.3">
      <c r="A427" t="s">
        <v>617</v>
      </c>
      <c r="B427">
        <v>3</v>
      </c>
      <c r="C427">
        <v>2</v>
      </c>
      <c r="D427" t="s">
        <v>194</v>
      </c>
      <c r="E427">
        <v>5.3518999999999997</v>
      </c>
      <c r="F427">
        <v>1</v>
      </c>
      <c r="G427">
        <v>5</v>
      </c>
      <c r="H427">
        <v>5</v>
      </c>
      <c r="I427">
        <v>0</v>
      </c>
      <c r="J427">
        <v>5</v>
      </c>
      <c r="K427">
        <v>428</v>
      </c>
      <c r="L427">
        <v>0</v>
      </c>
    </row>
    <row r="428" spans="1:12" x14ac:dyDescent="0.3">
      <c r="A428" t="s">
        <v>618</v>
      </c>
      <c r="B428">
        <v>3</v>
      </c>
      <c r="C428">
        <v>2</v>
      </c>
      <c r="D428" t="s">
        <v>194</v>
      </c>
      <c r="E428">
        <v>7.4882999999999997</v>
      </c>
      <c r="F428">
        <v>1</v>
      </c>
      <c r="G428">
        <v>5</v>
      </c>
      <c r="H428">
        <v>5</v>
      </c>
      <c r="I428">
        <v>0</v>
      </c>
      <c r="J428">
        <v>9</v>
      </c>
      <c r="K428">
        <v>679</v>
      </c>
      <c r="L428">
        <v>0</v>
      </c>
    </row>
    <row r="429" spans="1:12" x14ac:dyDescent="0.3">
      <c r="A429" t="s">
        <v>619</v>
      </c>
      <c r="B429">
        <v>3</v>
      </c>
      <c r="C429">
        <v>2</v>
      </c>
      <c r="D429" t="s">
        <v>194</v>
      </c>
      <c r="E429">
        <v>4.4839000000000002</v>
      </c>
      <c r="F429">
        <v>1</v>
      </c>
      <c r="G429">
        <v>5</v>
      </c>
      <c r="H429">
        <v>5</v>
      </c>
      <c r="I429">
        <v>0</v>
      </c>
      <c r="J429">
        <v>5</v>
      </c>
      <c r="K429">
        <v>428</v>
      </c>
      <c r="L429">
        <v>0</v>
      </c>
    </row>
    <row r="430" spans="1:12" x14ac:dyDescent="0.3">
      <c r="A430" t="s">
        <v>620</v>
      </c>
      <c r="B430">
        <v>3</v>
      </c>
      <c r="C430">
        <v>2</v>
      </c>
      <c r="D430" t="s">
        <v>194</v>
      </c>
      <c r="E430">
        <v>2.9355000000000002</v>
      </c>
      <c r="F430">
        <v>1</v>
      </c>
      <c r="G430">
        <v>5</v>
      </c>
      <c r="H430">
        <v>5</v>
      </c>
      <c r="I430">
        <v>0</v>
      </c>
      <c r="J430">
        <v>5</v>
      </c>
      <c r="K430">
        <v>428</v>
      </c>
      <c r="L430">
        <v>0</v>
      </c>
    </row>
    <row r="431" spans="1:12" x14ac:dyDescent="0.3">
      <c r="A431" t="s">
        <v>621</v>
      </c>
      <c r="B431">
        <v>3</v>
      </c>
      <c r="C431">
        <v>2</v>
      </c>
      <c r="D431" t="s">
        <v>194</v>
      </c>
      <c r="E431">
        <v>5.0707000000000004</v>
      </c>
      <c r="F431">
        <v>1</v>
      </c>
      <c r="G431">
        <v>5</v>
      </c>
      <c r="H431">
        <v>5</v>
      </c>
      <c r="I431">
        <v>0</v>
      </c>
      <c r="J431">
        <v>5</v>
      </c>
      <c r="K431">
        <v>428</v>
      </c>
      <c r="L431">
        <v>0</v>
      </c>
    </row>
    <row r="432" spans="1:12" x14ac:dyDescent="0.3">
      <c r="A432" t="s">
        <v>622</v>
      </c>
      <c r="B432">
        <v>3</v>
      </c>
      <c r="C432">
        <v>2</v>
      </c>
      <c r="D432" t="s">
        <v>194</v>
      </c>
      <c r="E432">
        <v>4.2935999999999996</v>
      </c>
      <c r="F432">
        <v>1</v>
      </c>
      <c r="G432">
        <v>5</v>
      </c>
      <c r="H432">
        <v>5</v>
      </c>
      <c r="I432">
        <v>0</v>
      </c>
      <c r="J432">
        <v>5</v>
      </c>
      <c r="K432">
        <v>428</v>
      </c>
      <c r="L432">
        <v>0</v>
      </c>
    </row>
    <row r="433" spans="1:12" x14ac:dyDescent="0.3">
      <c r="A433" t="s">
        <v>623</v>
      </c>
      <c r="B433">
        <v>3</v>
      </c>
      <c r="C433">
        <v>2</v>
      </c>
      <c r="D433" t="s">
        <v>194</v>
      </c>
      <c r="E433">
        <v>4.2935999999999996</v>
      </c>
      <c r="F433">
        <v>1</v>
      </c>
      <c r="G433">
        <v>5</v>
      </c>
      <c r="H433">
        <v>5</v>
      </c>
      <c r="I433">
        <v>0</v>
      </c>
      <c r="J433">
        <v>5</v>
      </c>
      <c r="K433">
        <v>428</v>
      </c>
      <c r="L433">
        <v>0</v>
      </c>
    </row>
    <row r="434" spans="1:12" x14ac:dyDescent="0.3">
      <c r="A434" t="s">
        <v>624</v>
      </c>
      <c r="B434">
        <v>3</v>
      </c>
      <c r="C434">
        <v>2</v>
      </c>
      <c r="D434" t="s">
        <v>194</v>
      </c>
      <c r="E434">
        <v>3.85</v>
      </c>
      <c r="F434">
        <v>1</v>
      </c>
      <c r="G434">
        <v>5</v>
      </c>
      <c r="H434">
        <v>5</v>
      </c>
      <c r="I434">
        <v>0</v>
      </c>
      <c r="J434">
        <v>5</v>
      </c>
      <c r="K434">
        <v>679</v>
      </c>
      <c r="L434">
        <v>0</v>
      </c>
    </row>
    <row r="435" spans="1:12" x14ac:dyDescent="0.3">
      <c r="A435" t="s">
        <v>625</v>
      </c>
      <c r="B435">
        <v>3</v>
      </c>
      <c r="C435">
        <v>2</v>
      </c>
      <c r="D435" t="s">
        <v>194</v>
      </c>
      <c r="E435">
        <v>5.0707000000000004</v>
      </c>
      <c r="F435">
        <v>1</v>
      </c>
      <c r="G435">
        <v>5</v>
      </c>
      <c r="H435">
        <v>5</v>
      </c>
      <c r="I435">
        <v>0</v>
      </c>
      <c r="J435">
        <v>5</v>
      </c>
      <c r="K435">
        <v>428</v>
      </c>
      <c r="L435">
        <v>0</v>
      </c>
    </row>
    <row r="436" spans="1:12" x14ac:dyDescent="0.3">
      <c r="A436" t="s">
        <v>626</v>
      </c>
      <c r="B436">
        <v>3</v>
      </c>
      <c r="C436">
        <v>2</v>
      </c>
      <c r="D436" t="s">
        <v>194</v>
      </c>
      <c r="E436">
        <v>5.0707000000000004</v>
      </c>
      <c r="F436">
        <v>1</v>
      </c>
      <c r="G436">
        <v>5</v>
      </c>
      <c r="H436">
        <v>5</v>
      </c>
      <c r="I436">
        <v>0</v>
      </c>
      <c r="J436">
        <v>5</v>
      </c>
      <c r="K436">
        <v>428</v>
      </c>
      <c r="L436">
        <v>0</v>
      </c>
    </row>
    <row r="437" spans="1:12" x14ac:dyDescent="0.3">
      <c r="A437" t="s">
        <v>627</v>
      </c>
      <c r="B437">
        <v>3</v>
      </c>
      <c r="C437">
        <v>2</v>
      </c>
      <c r="D437" t="s">
        <v>194</v>
      </c>
      <c r="E437">
        <v>5.6186999999999996</v>
      </c>
      <c r="F437">
        <v>1</v>
      </c>
      <c r="G437">
        <v>5</v>
      </c>
      <c r="H437">
        <v>5</v>
      </c>
      <c r="I437">
        <v>0</v>
      </c>
      <c r="J437">
        <v>5</v>
      </c>
      <c r="K437">
        <v>428</v>
      </c>
      <c r="L437">
        <v>0</v>
      </c>
    </row>
    <row r="438" spans="1:12" x14ac:dyDescent="0.3">
      <c r="A438" t="s">
        <v>628</v>
      </c>
      <c r="B438">
        <v>3</v>
      </c>
      <c r="C438">
        <v>2</v>
      </c>
      <c r="D438" t="s">
        <v>194</v>
      </c>
      <c r="E438">
        <v>7.4882999999999997</v>
      </c>
      <c r="F438">
        <v>1</v>
      </c>
      <c r="G438">
        <v>5</v>
      </c>
      <c r="H438">
        <v>5</v>
      </c>
      <c r="I438">
        <v>0</v>
      </c>
      <c r="J438">
        <v>9</v>
      </c>
      <c r="K438">
        <v>679</v>
      </c>
      <c r="L438">
        <v>0</v>
      </c>
    </row>
    <row r="439" spans="1:12" x14ac:dyDescent="0.3">
      <c r="A439" t="s">
        <v>629</v>
      </c>
      <c r="B439">
        <v>3</v>
      </c>
      <c r="C439">
        <v>2</v>
      </c>
      <c r="D439" t="s">
        <v>194</v>
      </c>
      <c r="E439">
        <v>4.2935999999999996</v>
      </c>
      <c r="F439">
        <v>1</v>
      </c>
      <c r="G439">
        <v>5</v>
      </c>
      <c r="H439">
        <v>5</v>
      </c>
      <c r="I439">
        <v>0</v>
      </c>
      <c r="J439">
        <v>5</v>
      </c>
      <c r="K439">
        <v>428</v>
      </c>
      <c r="L439">
        <v>0</v>
      </c>
    </row>
    <row r="440" spans="1:12" x14ac:dyDescent="0.3">
      <c r="A440" t="s">
        <v>630</v>
      </c>
      <c r="B440">
        <v>3</v>
      </c>
      <c r="C440">
        <v>2</v>
      </c>
      <c r="D440" t="s">
        <v>194</v>
      </c>
      <c r="E440">
        <v>4.2935999999999996</v>
      </c>
      <c r="F440">
        <v>1</v>
      </c>
      <c r="G440">
        <v>5</v>
      </c>
      <c r="H440">
        <v>5</v>
      </c>
      <c r="I440">
        <v>0</v>
      </c>
      <c r="J440">
        <v>5</v>
      </c>
      <c r="K440">
        <v>428</v>
      </c>
      <c r="L440">
        <v>0</v>
      </c>
    </row>
    <row r="441" spans="1:12" x14ac:dyDescent="0.3">
      <c r="A441" t="s">
        <v>631</v>
      </c>
      <c r="B441">
        <v>3</v>
      </c>
      <c r="C441">
        <v>2</v>
      </c>
      <c r="D441" t="s">
        <v>194</v>
      </c>
      <c r="E441">
        <v>4.2935999999999996</v>
      </c>
      <c r="F441">
        <v>1</v>
      </c>
      <c r="G441">
        <v>5</v>
      </c>
      <c r="H441">
        <v>5</v>
      </c>
      <c r="I441">
        <v>0</v>
      </c>
      <c r="J441">
        <v>5</v>
      </c>
      <c r="K441">
        <v>428</v>
      </c>
      <c r="L441">
        <v>0</v>
      </c>
    </row>
    <row r="442" spans="1:12" x14ac:dyDescent="0.3">
      <c r="A442" t="s">
        <v>632</v>
      </c>
      <c r="B442">
        <v>3</v>
      </c>
      <c r="C442">
        <v>2</v>
      </c>
      <c r="D442" t="s">
        <v>194</v>
      </c>
      <c r="E442">
        <v>5.3518999999999997</v>
      </c>
      <c r="F442">
        <v>1</v>
      </c>
      <c r="G442">
        <v>5</v>
      </c>
      <c r="H442">
        <v>5</v>
      </c>
      <c r="I442">
        <v>0</v>
      </c>
      <c r="J442">
        <v>5</v>
      </c>
      <c r="K442">
        <v>428</v>
      </c>
      <c r="L442">
        <v>0</v>
      </c>
    </row>
    <row r="443" spans="1:12" x14ac:dyDescent="0.3">
      <c r="A443" t="s">
        <v>633</v>
      </c>
      <c r="B443">
        <v>3</v>
      </c>
      <c r="C443">
        <v>2</v>
      </c>
      <c r="D443" t="s">
        <v>194</v>
      </c>
      <c r="E443">
        <v>4.4839000000000002</v>
      </c>
      <c r="F443">
        <v>1</v>
      </c>
      <c r="G443">
        <v>5</v>
      </c>
      <c r="H443">
        <v>5</v>
      </c>
      <c r="I443">
        <v>0</v>
      </c>
      <c r="J443">
        <v>5</v>
      </c>
      <c r="K443">
        <v>428</v>
      </c>
      <c r="L443">
        <v>0</v>
      </c>
    </row>
    <row r="444" spans="1:12" x14ac:dyDescent="0.3">
      <c r="A444" t="s">
        <v>634</v>
      </c>
      <c r="B444">
        <v>3</v>
      </c>
      <c r="C444">
        <v>2</v>
      </c>
      <c r="D444" t="s">
        <v>194</v>
      </c>
      <c r="E444">
        <v>10</v>
      </c>
      <c r="F444">
        <v>1</v>
      </c>
      <c r="G444">
        <v>5</v>
      </c>
      <c r="H444">
        <v>5</v>
      </c>
      <c r="I444">
        <v>0</v>
      </c>
      <c r="J444">
        <v>9</v>
      </c>
      <c r="K444">
        <v>652</v>
      </c>
      <c r="L444">
        <v>0</v>
      </c>
    </row>
    <row r="445" spans="1:12" x14ac:dyDescent="0.3">
      <c r="A445" t="s">
        <v>635</v>
      </c>
      <c r="B445">
        <v>3</v>
      </c>
      <c r="C445">
        <v>2</v>
      </c>
      <c r="D445" t="s">
        <v>194</v>
      </c>
      <c r="E445">
        <v>10</v>
      </c>
      <c r="F445">
        <v>1</v>
      </c>
      <c r="G445">
        <v>5</v>
      </c>
      <c r="H445">
        <v>5</v>
      </c>
      <c r="I445">
        <v>0</v>
      </c>
      <c r="J445">
        <v>9</v>
      </c>
      <c r="K445">
        <v>652</v>
      </c>
      <c r="L445">
        <v>0</v>
      </c>
    </row>
    <row r="446" spans="1:12" x14ac:dyDescent="0.3">
      <c r="A446" t="s">
        <v>636</v>
      </c>
      <c r="B446">
        <v>3</v>
      </c>
      <c r="C446">
        <v>2</v>
      </c>
      <c r="D446" t="s">
        <v>194</v>
      </c>
      <c r="E446">
        <v>5.35</v>
      </c>
      <c r="F446">
        <v>1</v>
      </c>
      <c r="G446">
        <v>5</v>
      </c>
      <c r="H446">
        <v>5</v>
      </c>
      <c r="I446">
        <v>0</v>
      </c>
      <c r="J446">
        <v>5</v>
      </c>
      <c r="K446">
        <v>428</v>
      </c>
      <c r="L446">
        <v>0</v>
      </c>
    </row>
    <row r="447" spans="1:12" x14ac:dyDescent="0.3">
      <c r="A447" t="s">
        <v>637</v>
      </c>
      <c r="B447">
        <v>3</v>
      </c>
      <c r="C447">
        <v>2</v>
      </c>
      <c r="D447" t="s">
        <v>194</v>
      </c>
      <c r="E447">
        <v>4.3499999999999996</v>
      </c>
      <c r="F447">
        <v>1</v>
      </c>
      <c r="G447">
        <v>5</v>
      </c>
      <c r="H447">
        <v>5</v>
      </c>
      <c r="I447">
        <v>0</v>
      </c>
      <c r="J447">
        <v>5</v>
      </c>
      <c r="K447">
        <v>428</v>
      </c>
      <c r="L447">
        <v>0</v>
      </c>
    </row>
    <row r="448" spans="1:12" x14ac:dyDescent="0.3">
      <c r="A448" t="s">
        <v>638</v>
      </c>
      <c r="B448">
        <v>3</v>
      </c>
      <c r="C448">
        <v>2</v>
      </c>
      <c r="D448" t="s">
        <v>194</v>
      </c>
      <c r="E448">
        <v>3.0693999999999999</v>
      </c>
      <c r="F448">
        <v>1</v>
      </c>
      <c r="G448">
        <v>5</v>
      </c>
      <c r="H448">
        <v>5</v>
      </c>
      <c r="I448">
        <v>0</v>
      </c>
      <c r="J448">
        <v>5</v>
      </c>
      <c r="K448">
        <v>428</v>
      </c>
      <c r="L448">
        <v>0</v>
      </c>
    </row>
    <row r="449" spans="1:12" x14ac:dyDescent="0.3">
      <c r="A449" t="s">
        <v>639</v>
      </c>
      <c r="B449">
        <v>3</v>
      </c>
      <c r="C449">
        <v>2</v>
      </c>
      <c r="D449" t="s">
        <v>194</v>
      </c>
      <c r="E449">
        <v>3.0693999999999999</v>
      </c>
      <c r="F449">
        <v>1</v>
      </c>
      <c r="G449">
        <v>5</v>
      </c>
      <c r="H449">
        <v>5</v>
      </c>
      <c r="I449">
        <v>0</v>
      </c>
      <c r="J449">
        <v>5</v>
      </c>
      <c r="K449">
        <v>428</v>
      </c>
      <c r="L449">
        <v>0</v>
      </c>
    </row>
    <row r="450" spans="1:12" x14ac:dyDescent="0.3">
      <c r="A450" t="s">
        <v>640</v>
      </c>
      <c r="B450">
        <v>3</v>
      </c>
      <c r="C450">
        <v>2</v>
      </c>
      <c r="D450" t="s">
        <v>194</v>
      </c>
      <c r="E450">
        <v>4.2935999999999996</v>
      </c>
      <c r="F450">
        <v>1</v>
      </c>
      <c r="G450">
        <v>5</v>
      </c>
      <c r="H450">
        <v>5</v>
      </c>
      <c r="I450">
        <v>0</v>
      </c>
      <c r="J450">
        <v>5</v>
      </c>
      <c r="K450">
        <v>428</v>
      </c>
      <c r="L450">
        <v>0</v>
      </c>
    </row>
    <row r="451" spans="1:12" x14ac:dyDescent="0.3">
      <c r="A451" t="s">
        <v>641</v>
      </c>
      <c r="B451">
        <v>3</v>
      </c>
      <c r="C451">
        <v>2</v>
      </c>
      <c r="D451" t="s">
        <v>194</v>
      </c>
      <c r="E451">
        <v>4.2935999999999996</v>
      </c>
      <c r="F451">
        <v>1</v>
      </c>
      <c r="G451">
        <v>5</v>
      </c>
      <c r="H451">
        <v>5</v>
      </c>
      <c r="I451">
        <v>0</v>
      </c>
      <c r="J451">
        <v>5</v>
      </c>
      <c r="K451">
        <v>428</v>
      </c>
      <c r="L451">
        <v>0</v>
      </c>
    </row>
    <row r="452" spans="1:12" x14ac:dyDescent="0.3">
      <c r="A452" t="s">
        <v>642</v>
      </c>
      <c r="B452">
        <v>3</v>
      </c>
      <c r="C452">
        <v>2</v>
      </c>
      <c r="D452" t="s">
        <v>194</v>
      </c>
      <c r="E452">
        <v>5.3518999999999997</v>
      </c>
      <c r="F452">
        <v>1</v>
      </c>
      <c r="G452">
        <v>5</v>
      </c>
      <c r="H452">
        <v>5</v>
      </c>
      <c r="I452">
        <v>0</v>
      </c>
      <c r="J452">
        <v>5</v>
      </c>
      <c r="K452">
        <v>428</v>
      </c>
      <c r="L452">
        <v>0</v>
      </c>
    </row>
    <row r="453" spans="1:12" x14ac:dyDescent="0.3">
      <c r="A453" t="s">
        <v>643</v>
      </c>
      <c r="B453">
        <v>3</v>
      </c>
      <c r="C453">
        <v>2</v>
      </c>
      <c r="D453" t="s">
        <v>194</v>
      </c>
      <c r="E453">
        <v>5.0705999999999998</v>
      </c>
      <c r="F453">
        <v>1</v>
      </c>
      <c r="G453">
        <v>5</v>
      </c>
      <c r="H453">
        <v>5</v>
      </c>
      <c r="I453">
        <v>0</v>
      </c>
      <c r="J453">
        <v>5</v>
      </c>
      <c r="K453">
        <v>428</v>
      </c>
      <c r="L453">
        <v>0</v>
      </c>
    </row>
    <row r="454" spans="1:12" x14ac:dyDescent="0.3">
      <c r="A454" t="s">
        <v>644</v>
      </c>
      <c r="B454">
        <v>3</v>
      </c>
      <c r="C454">
        <v>2</v>
      </c>
      <c r="D454" t="s">
        <v>194</v>
      </c>
      <c r="E454">
        <v>4.2935999999999996</v>
      </c>
      <c r="F454">
        <v>1</v>
      </c>
      <c r="G454">
        <v>5</v>
      </c>
      <c r="H454">
        <v>5</v>
      </c>
      <c r="I454">
        <v>0</v>
      </c>
      <c r="J454">
        <v>5</v>
      </c>
      <c r="K454">
        <v>428</v>
      </c>
      <c r="L454">
        <v>0</v>
      </c>
    </row>
    <row r="455" spans="1:12" x14ac:dyDescent="0.3">
      <c r="A455" t="s">
        <v>645</v>
      </c>
      <c r="B455">
        <v>3</v>
      </c>
      <c r="C455">
        <v>2</v>
      </c>
      <c r="D455" t="s">
        <v>194</v>
      </c>
      <c r="E455">
        <v>7.4882999999999997</v>
      </c>
      <c r="F455">
        <v>1</v>
      </c>
      <c r="G455">
        <v>5</v>
      </c>
      <c r="H455">
        <v>5</v>
      </c>
      <c r="I455">
        <v>0</v>
      </c>
      <c r="J455">
        <v>9</v>
      </c>
      <c r="K455">
        <v>679</v>
      </c>
      <c r="L455">
        <v>0</v>
      </c>
    </row>
    <row r="456" spans="1:12" x14ac:dyDescent="0.3">
      <c r="A456" t="s">
        <v>646</v>
      </c>
      <c r="B456">
        <v>3</v>
      </c>
      <c r="C456">
        <v>2</v>
      </c>
      <c r="D456" t="s">
        <v>194</v>
      </c>
      <c r="E456">
        <v>7.4882999999999997</v>
      </c>
      <c r="F456">
        <v>1</v>
      </c>
      <c r="G456">
        <v>5</v>
      </c>
      <c r="H456">
        <v>5</v>
      </c>
      <c r="I456">
        <v>0</v>
      </c>
      <c r="J456">
        <v>9</v>
      </c>
      <c r="K456">
        <v>679</v>
      </c>
      <c r="L456">
        <v>0</v>
      </c>
    </row>
    <row r="457" spans="1:12" x14ac:dyDescent="0.3">
      <c r="A457" t="s">
        <v>647</v>
      </c>
      <c r="B457">
        <v>3</v>
      </c>
      <c r="C457">
        <v>2</v>
      </c>
      <c r="D457" t="s">
        <v>194</v>
      </c>
      <c r="E457">
        <v>2.71</v>
      </c>
      <c r="F457">
        <v>1</v>
      </c>
      <c r="G457">
        <v>5</v>
      </c>
      <c r="H457">
        <v>5</v>
      </c>
      <c r="I457">
        <v>0</v>
      </c>
      <c r="J457">
        <v>5</v>
      </c>
      <c r="K457">
        <v>428</v>
      </c>
      <c r="L457">
        <v>0</v>
      </c>
    </row>
    <row r="458" spans="1:12" x14ac:dyDescent="0.3">
      <c r="A458" t="s">
        <v>648</v>
      </c>
      <c r="B458">
        <v>3</v>
      </c>
      <c r="C458">
        <v>2</v>
      </c>
      <c r="D458" t="s">
        <v>194</v>
      </c>
      <c r="E458">
        <v>4.2934999999999999</v>
      </c>
      <c r="F458">
        <v>1</v>
      </c>
      <c r="G458">
        <v>5</v>
      </c>
      <c r="H458">
        <v>5</v>
      </c>
      <c r="I458">
        <v>0</v>
      </c>
      <c r="J458">
        <v>5</v>
      </c>
      <c r="K458">
        <v>428</v>
      </c>
      <c r="L458">
        <v>0</v>
      </c>
    </row>
    <row r="459" spans="1:12" x14ac:dyDescent="0.3">
      <c r="A459" t="s">
        <v>649</v>
      </c>
      <c r="B459">
        <v>3</v>
      </c>
      <c r="C459">
        <v>2</v>
      </c>
      <c r="D459" t="s">
        <v>194</v>
      </c>
      <c r="E459">
        <v>3.85</v>
      </c>
      <c r="F459">
        <v>1</v>
      </c>
      <c r="G459">
        <v>5</v>
      </c>
      <c r="H459">
        <v>5</v>
      </c>
      <c r="I459">
        <v>0</v>
      </c>
      <c r="J459">
        <v>5</v>
      </c>
      <c r="K459">
        <v>679</v>
      </c>
      <c r="L459">
        <v>0</v>
      </c>
    </row>
    <row r="460" spans="1:12" x14ac:dyDescent="0.3">
      <c r="A460" t="s">
        <v>650</v>
      </c>
      <c r="B460">
        <v>3</v>
      </c>
      <c r="C460">
        <v>2</v>
      </c>
      <c r="D460" t="s">
        <v>194</v>
      </c>
      <c r="E460">
        <v>3.85</v>
      </c>
      <c r="F460">
        <v>1</v>
      </c>
      <c r="G460">
        <v>5</v>
      </c>
      <c r="H460">
        <v>5</v>
      </c>
      <c r="I460">
        <v>0</v>
      </c>
      <c r="J460">
        <v>5</v>
      </c>
      <c r="K460">
        <v>679</v>
      </c>
      <c r="L460">
        <v>0</v>
      </c>
    </row>
    <row r="461" spans="1:12" x14ac:dyDescent="0.3">
      <c r="A461" t="s">
        <v>651</v>
      </c>
      <c r="B461">
        <v>3</v>
      </c>
      <c r="C461">
        <v>2</v>
      </c>
      <c r="D461" t="s">
        <v>194</v>
      </c>
      <c r="E461">
        <v>3.85</v>
      </c>
      <c r="F461">
        <v>1</v>
      </c>
      <c r="G461">
        <v>5</v>
      </c>
      <c r="H461">
        <v>5</v>
      </c>
      <c r="I461">
        <v>0</v>
      </c>
      <c r="J461">
        <v>5</v>
      </c>
      <c r="K461">
        <v>679</v>
      </c>
      <c r="L461">
        <v>0</v>
      </c>
    </row>
    <row r="462" spans="1:12" x14ac:dyDescent="0.3">
      <c r="A462" t="s">
        <v>652</v>
      </c>
      <c r="B462">
        <v>3</v>
      </c>
      <c r="C462">
        <v>2</v>
      </c>
      <c r="D462" t="s">
        <v>194</v>
      </c>
      <c r="E462">
        <v>3.85</v>
      </c>
      <c r="F462">
        <v>1</v>
      </c>
      <c r="G462">
        <v>5</v>
      </c>
      <c r="H462">
        <v>5</v>
      </c>
      <c r="I462">
        <v>0</v>
      </c>
      <c r="J462">
        <v>5</v>
      </c>
      <c r="K462">
        <v>679</v>
      </c>
      <c r="L462">
        <v>0</v>
      </c>
    </row>
    <row r="463" spans="1:12" x14ac:dyDescent="0.3">
      <c r="A463" t="s">
        <v>653</v>
      </c>
      <c r="B463">
        <v>3</v>
      </c>
      <c r="C463">
        <v>2</v>
      </c>
      <c r="D463" t="s">
        <v>194</v>
      </c>
      <c r="E463">
        <v>7.4882</v>
      </c>
      <c r="F463">
        <v>1</v>
      </c>
      <c r="G463">
        <v>5</v>
      </c>
      <c r="H463">
        <v>5</v>
      </c>
      <c r="I463">
        <v>0</v>
      </c>
      <c r="J463">
        <v>9</v>
      </c>
      <c r="K463">
        <v>679</v>
      </c>
      <c r="L463">
        <v>0</v>
      </c>
    </row>
    <row r="464" spans="1:12" x14ac:dyDescent="0.3">
      <c r="A464" t="s">
        <v>654</v>
      </c>
      <c r="B464">
        <v>3</v>
      </c>
      <c r="C464">
        <v>2</v>
      </c>
      <c r="D464" t="s">
        <v>194</v>
      </c>
      <c r="E464">
        <v>3.85</v>
      </c>
      <c r="F464">
        <v>1</v>
      </c>
      <c r="G464">
        <v>5</v>
      </c>
      <c r="H464">
        <v>5</v>
      </c>
      <c r="I464">
        <v>0</v>
      </c>
      <c r="J464">
        <v>5</v>
      </c>
      <c r="K464">
        <v>679</v>
      </c>
      <c r="L464">
        <v>0</v>
      </c>
    </row>
    <row r="465" spans="1:12" x14ac:dyDescent="0.3">
      <c r="A465" t="s">
        <v>655</v>
      </c>
      <c r="B465">
        <v>3</v>
      </c>
      <c r="C465">
        <v>2</v>
      </c>
      <c r="D465" t="s">
        <v>194</v>
      </c>
      <c r="E465">
        <v>7.4882999999999997</v>
      </c>
      <c r="F465">
        <v>1</v>
      </c>
      <c r="G465">
        <v>5</v>
      </c>
      <c r="H465">
        <v>5</v>
      </c>
      <c r="I465">
        <v>0</v>
      </c>
      <c r="J465">
        <v>9</v>
      </c>
      <c r="K465">
        <v>679</v>
      </c>
      <c r="L465">
        <v>0</v>
      </c>
    </row>
    <row r="466" spans="1:12" x14ac:dyDescent="0.3">
      <c r="A466" t="s">
        <v>656</v>
      </c>
      <c r="B466">
        <v>3</v>
      </c>
      <c r="C466">
        <v>2</v>
      </c>
      <c r="D466" t="s">
        <v>194</v>
      </c>
      <c r="E466">
        <v>5.351</v>
      </c>
      <c r="F466">
        <v>1</v>
      </c>
      <c r="G466">
        <v>5</v>
      </c>
      <c r="H466">
        <v>5</v>
      </c>
      <c r="I466">
        <v>0</v>
      </c>
      <c r="J466">
        <v>5</v>
      </c>
      <c r="K466">
        <v>428</v>
      </c>
      <c r="L466">
        <v>0</v>
      </c>
    </row>
    <row r="467" spans="1:12" x14ac:dyDescent="0.3">
      <c r="A467" t="s">
        <v>657</v>
      </c>
      <c r="B467">
        <v>3</v>
      </c>
      <c r="C467">
        <v>2</v>
      </c>
      <c r="D467" t="s">
        <v>194</v>
      </c>
      <c r="E467">
        <v>5.351</v>
      </c>
      <c r="F467">
        <v>1</v>
      </c>
      <c r="G467">
        <v>5</v>
      </c>
      <c r="H467">
        <v>5</v>
      </c>
      <c r="I467">
        <v>0</v>
      </c>
      <c r="J467">
        <v>5</v>
      </c>
      <c r="K467">
        <v>428</v>
      </c>
      <c r="L467">
        <v>0</v>
      </c>
    </row>
    <row r="468" spans="1:12" x14ac:dyDescent="0.3">
      <c r="A468" t="s">
        <v>658</v>
      </c>
      <c r="B468">
        <v>3</v>
      </c>
      <c r="C468">
        <v>2</v>
      </c>
      <c r="D468" t="s">
        <v>194</v>
      </c>
      <c r="E468">
        <v>3.85</v>
      </c>
      <c r="F468">
        <v>1</v>
      </c>
      <c r="G468">
        <v>5</v>
      </c>
      <c r="H468">
        <v>5</v>
      </c>
      <c r="I468">
        <v>0</v>
      </c>
      <c r="J468">
        <v>5</v>
      </c>
      <c r="K468">
        <v>679</v>
      </c>
      <c r="L468">
        <v>0</v>
      </c>
    </row>
    <row r="469" spans="1:12" x14ac:dyDescent="0.3">
      <c r="A469" t="s">
        <v>659</v>
      </c>
      <c r="B469">
        <v>3</v>
      </c>
      <c r="C469">
        <v>2</v>
      </c>
      <c r="D469" t="s">
        <v>194</v>
      </c>
      <c r="E469">
        <v>7.4882999999999997</v>
      </c>
      <c r="F469">
        <v>1</v>
      </c>
      <c r="G469">
        <v>5</v>
      </c>
      <c r="H469">
        <v>5</v>
      </c>
      <c r="I469">
        <v>0</v>
      </c>
      <c r="J469">
        <v>9</v>
      </c>
      <c r="K469">
        <v>679</v>
      </c>
      <c r="L469">
        <v>0</v>
      </c>
    </row>
    <row r="470" spans="1:12" x14ac:dyDescent="0.3">
      <c r="A470" t="s">
        <v>660</v>
      </c>
      <c r="B470">
        <v>3</v>
      </c>
      <c r="C470">
        <v>2</v>
      </c>
      <c r="E470">
        <v>4.2935999999999996</v>
      </c>
      <c r="F470">
        <v>1</v>
      </c>
      <c r="G470">
        <v>5</v>
      </c>
      <c r="H470">
        <v>5</v>
      </c>
      <c r="I470">
        <v>0</v>
      </c>
      <c r="J470">
        <v>5</v>
      </c>
      <c r="K470">
        <v>428</v>
      </c>
      <c r="L470">
        <v>0</v>
      </c>
    </row>
    <row r="471" spans="1:12" x14ac:dyDescent="0.3">
      <c r="A471" t="s">
        <v>661</v>
      </c>
      <c r="B471">
        <v>3</v>
      </c>
      <c r="C471">
        <v>2</v>
      </c>
      <c r="E471">
        <v>5.9950000000000001</v>
      </c>
      <c r="F471">
        <v>1</v>
      </c>
      <c r="G471">
        <v>5</v>
      </c>
      <c r="H471">
        <v>5</v>
      </c>
      <c r="I471">
        <v>0</v>
      </c>
      <c r="J471">
        <v>9</v>
      </c>
      <c r="K471">
        <v>429</v>
      </c>
      <c r="L47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0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7" customWidth="1"/>
    <col min="2" max="2" width="7" customWidth="1"/>
    <col min="3" max="3" width="6" customWidth="1"/>
    <col min="4" max="4" width="7" customWidth="1"/>
    <col min="5" max="5" width="10" customWidth="1"/>
    <col min="6" max="6" width="19" customWidth="1"/>
    <col min="7" max="7" width="21" customWidth="1"/>
    <col min="8" max="9" width="16" customWidth="1"/>
    <col min="10" max="10" width="17" customWidth="1"/>
    <col min="11" max="11" width="7" customWidth="1"/>
    <col min="12" max="12" width="11" customWidth="1"/>
    <col min="13" max="13" width="8" customWidth="1"/>
  </cols>
  <sheetData>
    <row r="1" spans="1:13" x14ac:dyDescent="0.3">
      <c r="A1" s="2" t="s">
        <v>189</v>
      </c>
      <c r="B1" s="2" t="s">
        <v>78</v>
      </c>
      <c r="C1" s="2" t="s">
        <v>77</v>
      </c>
      <c r="D1" s="2" t="s">
        <v>16</v>
      </c>
      <c r="E1" s="2" t="s">
        <v>151</v>
      </c>
      <c r="F1" s="2" t="s">
        <v>138</v>
      </c>
      <c r="G1" s="2" t="s">
        <v>662</v>
      </c>
      <c r="H1" s="2" t="s">
        <v>190</v>
      </c>
      <c r="I1" s="2" t="s">
        <v>191</v>
      </c>
      <c r="J1" s="2" t="s">
        <v>192</v>
      </c>
      <c r="K1" s="2" t="s">
        <v>79</v>
      </c>
      <c r="L1" s="2" t="s">
        <v>43</v>
      </c>
      <c r="M1" s="2" t="s">
        <v>71</v>
      </c>
    </row>
    <row r="2" spans="1:13" x14ac:dyDescent="0.3">
      <c r="A2" t="s">
        <v>663</v>
      </c>
      <c r="B2">
        <v>0</v>
      </c>
      <c r="C2">
        <v>1</v>
      </c>
      <c r="D2" t="s">
        <v>194</v>
      </c>
      <c r="E2">
        <v>2.1483020000000002</v>
      </c>
      <c r="F2">
        <v>0.15873000000000001</v>
      </c>
      <c r="G2">
        <v>0.34099997646000002</v>
      </c>
      <c r="H2">
        <v>9</v>
      </c>
      <c r="I2">
        <v>4</v>
      </c>
      <c r="J2">
        <v>200</v>
      </c>
      <c r="K2">
        <v>0</v>
      </c>
      <c r="L2">
        <v>495</v>
      </c>
      <c r="M2">
        <v>0</v>
      </c>
    </row>
    <row r="3" spans="1:13" x14ac:dyDescent="0.3">
      <c r="A3" t="s">
        <v>664</v>
      </c>
      <c r="B3">
        <v>0</v>
      </c>
      <c r="C3">
        <v>1</v>
      </c>
      <c r="D3" t="s">
        <v>194</v>
      </c>
      <c r="E3">
        <v>3.118503</v>
      </c>
      <c r="F3">
        <v>0.15873000000000001</v>
      </c>
      <c r="G3">
        <v>0.49499998118999999</v>
      </c>
      <c r="H3">
        <v>9</v>
      </c>
      <c r="I3">
        <v>4</v>
      </c>
      <c r="J3">
        <v>200</v>
      </c>
      <c r="K3">
        <v>0</v>
      </c>
      <c r="L3">
        <v>495</v>
      </c>
      <c r="M3">
        <v>0</v>
      </c>
    </row>
    <row r="4" spans="1:13" x14ac:dyDescent="0.3">
      <c r="A4" t="s">
        <v>665</v>
      </c>
      <c r="B4">
        <v>0</v>
      </c>
      <c r="C4">
        <v>1</v>
      </c>
      <c r="D4" t="s">
        <v>194</v>
      </c>
      <c r="E4">
        <v>3.6468590000000001</v>
      </c>
      <c r="F4">
        <v>0.158730158730159</v>
      </c>
      <c r="G4">
        <v>0.57886650793650896</v>
      </c>
      <c r="H4">
        <v>9</v>
      </c>
      <c r="I4">
        <v>4</v>
      </c>
      <c r="J4">
        <v>200</v>
      </c>
      <c r="K4">
        <v>0</v>
      </c>
      <c r="L4">
        <v>495</v>
      </c>
      <c r="M4">
        <v>60</v>
      </c>
    </row>
    <row r="5" spans="1:13" x14ac:dyDescent="0.3">
      <c r="A5" t="s">
        <v>666</v>
      </c>
      <c r="B5">
        <v>0</v>
      </c>
      <c r="C5">
        <v>1</v>
      </c>
      <c r="D5" t="s">
        <v>194</v>
      </c>
      <c r="E5">
        <v>3.0879099999999999</v>
      </c>
      <c r="F5">
        <v>0.158730158730159</v>
      </c>
      <c r="G5">
        <v>0.49014444444444533</v>
      </c>
      <c r="H5">
        <v>9</v>
      </c>
      <c r="I5">
        <v>4</v>
      </c>
      <c r="J5">
        <v>200</v>
      </c>
      <c r="K5">
        <v>0</v>
      </c>
      <c r="L5">
        <v>495</v>
      </c>
      <c r="M5">
        <v>60</v>
      </c>
    </row>
    <row r="6" spans="1:13" x14ac:dyDescent="0.3">
      <c r="A6" t="s">
        <v>667</v>
      </c>
      <c r="B6">
        <v>0</v>
      </c>
      <c r="C6">
        <v>1</v>
      </c>
      <c r="D6" t="s">
        <v>194</v>
      </c>
      <c r="E6">
        <v>3.654004</v>
      </c>
      <c r="F6">
        <v>0.15873000000000001</v>
      </c>
      <c r="G6">
        <v>0.58000005492000006</v>
      </c>
      <c r="H6">
        <v>9</v>
      </c>
      <c r="I6">
        <v>4</v>
      </c>
      <c r="J6">
        <v>200</v>
      </c>
      <c r="K6">
        <v>0</v>
      </c>
      <c r="L6">
        <v>495</v>
      </c>
      <c r="M6">
        <v>0</v>
      </c>
    </row>
    <row r="7" spans="1:13" x14ac:dyDescent="0.3">
      <c r="A7" t="s">
        <v>668</v>
      </c>
      <c r="B7">
        <v>0</v>
      </c>
      <c r="C7">
        <v>1</v>
      </c>
      <c r="D7" t="s">
        <v>194</v>
      </c>
      <c r="E7">
        <v>2.9862030000000002</v>
      </c>
      <c r="F7">
        <v>0.15873000000000001</v>
      </c>
      <c r="G7">
        <v>0.47400000218999999</v>
      </c>
      <c r="H7">
        <v>9</v>
      </c>
      <c r="I7">
        <v>4</v>
      </c>
      <c r="J7">
        <v>200</v>
      </c>
      <c r="K7">
        <v>0</v>
      </c>
      <c r="L7">
        <v>495</v>
      </c>
      <c r="M7">
        <v>0</v>
      </c>
    </row>
    <row r="8" spans="1:13" x14ac:dyDescent="0.3">
      <c r="A8" t="s">
        <v>669</v>
      </c>
      <c r="B8">
        <v>0</v>
      </c>
      <c r="C8">
        <v>1</v>
      </c>
      <c r="D8" t="s">
        <v>194</v>
      </c>
      <c r="E8">
        <v>4.1674540000000002</v>
      </c>
      <c r="F8">
        <v>0.15873000000000001</v>
      </c>
      <c r="G8">
        <v>0.66149997342000011</v>
      </c>
      <c r="H8">
        <v>9</v>
      </c>
      <c r="I8">
        <v>4</v>
      </c>
      <c r="J8">
        <v>200</v>
      </c>
      <c r="K8">
        <v>0</v>
      </c>
      <c r="L8">
        <v>495</v>
      </c>
      <c r="M8">
        <v>0</v>
      </c>
    </row>
    <row r="9" spans="1:13" x14ac:dyDescent="0.3">
      <c r="A9" t="s">
        <v>670</v>
      </c>
      <c r="B9">
        <v>0</v>
      </c>
      <c r="C9">
        <v>1</v>
      </c>
      <c r="D9" t="s">
        <v>194</v>
      </c>
      <c r="E9">
        <v>3.8486739999999999</v>
      </c>
      <c r="F9">
        <v>0.15873000000000001</v>
      </c>
      <c r="G9">
        <v>0.61090002401999999</v>
      </c>
      <c r="H9">
        <v>9</v>
      </c>
      <c r="I9">
        <v>4</v>
      </c>
      <c r="J9">
        <v>200</v>
      </c>
      <c r="K9">
        <v>0</v>
      </c>
      <c r="L9">
        <v>495</v>
      </c>
      <c r="M9">
        <v>0</v>
      </c>
    </row>
    <row r="10" spans="1:13" x14ac:dyDescent="0.3">
      <c r="A10" t="s">
        <v>671</v>
      </c>
      <c r="B10">
        <v>0</v>
      </c>
      <c r="C10">
        <v>1</v>
      </c>
      <c r="D10" t="s">
        <v>194</v>
      </c>
      <c r="E10">
        <v>9.5949100000000005</v>
      </c>
      <c r="F10">
        <v>0.15873000000000001</v>
      </c>
      <c r="G10">
        <v>1.5230000642999999</v>
      </c>
      <c r="H10">
        <v>9</v>
      </c>
      <c r="I10">
        <v>4</v>
      </c>
      <c r="J10">
        <v>200</v>
      </c>
      <c r="K10">
        <v>0</v>
      </c>
      <c r="L10">
        <v>495</v>
      </c>
      <c r="M10">
        <v>0</v>
      </c>
    </row>
    <row r="11" spans="1:13" x14ac:dyDescent="0.3">
      <c r="A11" t="s">
        <v>672</v>
      </c>
      <c r="B11">
        <v>0</v>
      </c>
      <c r="C11">
        <v>1</v>
      </c>
      <c r="D11" t="s">
        <v>194</v>
      </c>
      <c r="E11">
        <v>5.2794049999999997</v>
      </c>
      <c r="F11">
        <v>0.15873000000000001</v>
      </c>
      <c r="G11">
        <v>0.83799995564999996</v>
      </c>
      <c r="H11">
        <v>9</v>
      </c>
      <c r="I11">
        <v>4</v>
      </c>
      <c r="J11">
        <v>200</v>
      </c>
      <c r="K11">
        <v>0</v>
      </c>
      <c r="L11">
        <v>495</v>
      </c>
      <c r="M11">
        <v>0</v>
      </c>
    </row>
    <row r="12" spans="1:13" x14ac:dyDescent="0.3">
      <c r="A12" t="s">
        <v>673</v>
      </c>
      <c r="B12">
        <v>0</v>
      </c>
      <c r="C12">
        <v>1</v>
      </c>
      <c r="D12" t="s">
        <v>194</v>
      </c>
      <c r="E12">
        <v>6.9117369999999996</v>
      </c>
      <c r="F12">
        <v>0.158730158730159</v>
      </c>
      <c r="G12">
        <v>1.0971011111111131</v>
      </c>
      <c r="H12">
        <v>9</v>
      </c>
      <c r="I12">
        <v>4</v>
      </c>
      <c r="J12">
        <v>200</v>
      </c>
      <c r="K12">
        <v>0</v>
      </c>
      <c r="L12">
        <v>495</v>
      </c>
      <c r="M12">
        <v>60</v>
      </c>
    </row>
    <row r="13" spans="1:13" x14ac:dyDescent="0.3">
      <c r="A13" t="s">
        <v>674</v>
      </c>
      <c r="B13">
        <v>0</v>
      </c>
      <c r="C13">
        <v>1</v>
      </c>
      <c r="D13" t="s">
        <v>194</v>
      </c>
      <c r="E13">
        <v>7.1140809999999997</v>
      </c>
      <c r="F13">
        <v>0.158730158730159</v>
      </c>
      <c r="G13">
        <v>1.1292192063492079</v>
      </c>
      <c r="H13">
        <v>9</v>
      </c>
      <c r="I13">
        <v>4</v>
      </c>
      <c r="J13">
        <v>200</v>
      </c>
      <c r="K13">
        <v>0</v>
      </c>
      <c r="L13">
        <v>495</v>
      </c>
      <c r="M13">
        <v>60</v>
      </c>
    </row>
    <row r="14" spans="1:13" x14ac:dyDescent="0.3">
      <c r="A14" t="s">
        <v>675</v>
      </c>
      <c r="B14">
        <v>0</v>
      </c>
      <c r="C14">
        <v>1</v>
      </c>
      <c r="D14" t="s">
        <v>194</v>
      </c>
      <c r="E14">
        <v>4.4037040000000003</v>
      </c>
      <c r="F14">
        <v>0.158730158730159</v>
      </c>
      <c r="G14">
        <v>0.69900063492063613</v>
      </c>
      <c r="H14">
        <v>9</v>
      </c>
      <c r="I14">
        <v>4</v>
      </c>
      <c r="J14">
        <v>200</v>
      </c>
      <c r="K14">
        <v>0</v>
      </c>
      <c r="L14">
        <v>495</v>
      </c>
      <c r="M14">
        <v>60</v>
      </c>
    </row>
    <row r="15" spans="1:13" x14ac:dyDescent="0.3">
      <c r="A15" t="s">
        <v>676</v>
      </c>
      <c r="B15">
        <v>0</v>
      </c>
      <c r="C15">
        <v>1</v>
      </c>
      <c r="D15" t="s">
        <v>194</v>
      </c>
      <c r="E15">
        <v>6.986707</v>
      </c>
      <c r="F15">
        <v>0.15873000000000001</v>
      </c>
      <c r="G15">
        <v>1.1090000021099999</v>
      </c>
      <c r="H15">
        <v>9</v>
      </c>
      <c r="I15">
        <v>4</v>
      </c>
      <c r="J15">
        <v>200</v>
      </c>
      <c r="K15">
        <v>0</v>
      </c>
      <c r="L15">
        <v>495</v>
      </c>
      <c r="M15">
        <v>0</v>
      </c>
    </row>
    <row r="16" spans="1:13" x14ac:dyDescent="0.3">
      <c r="A16" t="s">
        <v>677</v>
      </c>
      <c r="B16">
        <v>0</v>
      </c>
      <c r="C16">
        <v>1</v>
      </c>
      <c r="D16" t="s">
        <v>194</v>
      </c>
      <c r="E16">
        <v>7.2897119999999997</v>
      </c>
      <c r="F16">
        <v>0.15873000000000001</v>
      </c>
      <c r="G16">
        <v>1.1570959857600001</v>
      </c>
      <c r="H16">
        <v>9</v>
      </c>
      <c r="I16">
        <v>4</v>
      </c>
      <c r="J16">
        <v>200</v>
      </c>
      <c r="K16">
        <v>0</v>
      </c>
      <c r="L16">
        <v>495</v>
      </c>
      <c r="M16">
        <v>0</v>
      </c>
    </row>
    <row r="17" spans="1:13" x14ac:dyDescent="0.3">
      <c r="A17" t="s">
        <v>678</v>
      </c>
      <c r="B17">
        <v>0</v>
      </c>
      <c r="C17">
        <v>1</v>
      </c>
      <c r="D17" t="s">
        <v>194</v>
      </c>
      <c r="E17">
        <v>8.6814090000000004</v>
      </c>
      <c r="F17">
        <v>0.15873000000000001</v>
      </c>
      <c r="G17">
        <v>1.3780000505700001</v>
      </c>
      <c r="H17">
        <v>9</v>
      </c>
      <c r="I17">
        <v>4</v>
      </c>
      <c r="J17">
        <v>200</v>
      </c>
      <c r="K17">
        <v>0</v>
      </c>
      <c r="L17">
        <v>495</v>
      </c>
      <c r="M17">
        <v>0</v>
      </c>
    </row>
    <row r="18" spans="1:13" x14ac:dyDescent="0.3">
      <c r="A18" t="s">
        <v>679</v>
      </c>
      <c r="B18">
        <v>0</v>
      </c>
      <c r="C18">
        <v>1</v>
      </c>
      <c r="D18" t="s">
        <v>194</v>
      </c>
      <c r="E18">
        <v>3.320103</v>
      </c>
      <c r="F18">
        <v>0.15873000000000001</v>
      </c>
      <c r="G18">
        <v>0.52699994919000004</v>
      </c>
      <c r="H18">
        <v>9</v>
      </c>
      <c r="I18">
        <v>4</v>
      </c>
      <c r="J18">
        <v>200</v>
      </c>
      <c r="K18">
        <v>0</v>
      </c>
      <c r="L18">
        <v>495</v>
      </c>
      <c r="M18">
        <v>0</v>
      </c>
    </row>
    <row r="19" spans="1:13" x14ac:dyDescent="0.3">
      <c r="A19" t="s">
        <v>680</v>
      </c>
      <c r="B19">
        <v>0</v>
      </c>
      <c r="C19">
        <v>1</v>
      </c>
      <c r="D19" t="s">
        <v>194</v>
      </c>
      <c r="E19">
        <v>4.8636049999999997</v>
      </c>
      <c r="F19">
        <v>0.15873000000000001</v>
      </c>
      <c r="G19">
        <v>0.77200002165000003</v>
      </c>
      <c r="H19">
        <v>9</v>
      </c>
      <c r="I19">
        <v>4</v>
      </c>
      <c r="J19">
        <v>200</v>
      </c>
      <c r="K19">
        <v>0</v>
      </c>
      <c r="L19">
        <v>495</v>
      </c>
      <c r="M19">
        <v>0</v>
      </c>
    </row>
    <row r="20" spans="1:13" x14ac:dyDescent="0.3">
      <c r="A20" t="s">
        <v>681</v>
      </c>
      <c r="B20">
        <v>0</v>
      </c>
      <c r="C20">
        <v>1</v>
      </c>
      <c r="D20" t="s">
        <v>194</v>
      </c>
      <c r="E20">
        <v>5.4621050000000002</v>
      </c>
      <c r="F20">
        <v>0.15873000000000001</v>
      </c>
      <c r="G20">
        <v>0.86699992665000014</v>
      </c>
      <c r="H20">
        <v>9</v>
      </c>
      <c r="I20">
        <v>4</v>
      </c>
      <c r="J20">
        <v>200</v>
      </c>
      <c r="K20">
        <v>0</v>
      </c>
      <c r="L20">
        <v>495</v>
      </c>
      <c r="M20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7" customWidth="1"/>
    <col min="2" max="2" width="7" customWidth="1"/>
    <col min="3" max="3" width="6" customWidth="1"/>
    <col min="4" max="5" width="7" customWidth="1"/>
    <col min="6" max="6" width="21" customWidth="1"/>
    <col min="7" max="7" width="13" customWidth="1"/>
    <col min="8" max="9" width="16" customWidth="1"/>
    <col min="10" max="10" width="17" customWidth="1"/>
    <col min="11" max="11" width="7" customWidth="1"/>
    <col min="12" max="12" width="11" customWidth="1"/>
    <col min="13" max="13" width="8" customWidth="1"/>
    <col min="14" max="14" width="10" customWidth="1"/>
    <col min="15" max="15" width="9" customWidth="1"/>
  </cols>
  <sheetData>
    <row r="1" spans="1:15" x14ac:dyDescent="0.3">
      <c r="A1" s="2" t="s">
        <v>189</v>
      </c>
      <c r="B1" s="2" t="s">
        <v>78</v>
      </c>
      <c r="C1" s="2" t="s">
        <v>77</v>
      </c>
      <c r="D1" s="2" t="s">
        <v>16</v>
      </c>
      <c r="E1" s="2" t="s">
        <v>151</v>
      </c>
      <c r="F1" s="2" t="s">
        <v>662</v>
      </c>
      <c r="G1" s="2" t="s">
        <v>138</v>
      </c>
      <c r="H1" s="2" t="s">
        <v>190</v>
      </c>
      <c r="I1" s="2" t="s">
        <v>191</v>
      </c>
      <c r="J1" s="2" t="s">
        <v>192</v>
      </c>
      <c r="K1" s="2" t="s">
        <v>79</v>
      </c>
      <c r="L1" s="2" t="s">
        <v>43</v>
      </c>
      <c r="M1" s="2" t="s">
        <v>71</v>
      </c>
      <c r="O1" s="2">
        <v>0.15873000000000001</v>
      </c>
    </row>
    <row r="2" spans="1:15" x14ac:dyDescent="0.3">
      <c r="A2" t="s">
        <v>682</v>
      </c>
      <c r="B2">
        <v>8</v>
      </c>
      <c r="C2">
        <v>1</v>
      </c>
      <c r="D2" t="s">
        <v>194</v>
      </c>
      <c r="E2">
        <v>2.25</v>
      </c>
      <c r="F2">
        <v>0.35714249999999997</v>
      </c>
      <c r="G2">
        <v>1</v>
      </c>
      <c r="H2">
        <v>4</v>
      </c>
      <c r="I2">
        <v>4</v>
      </c>
      <c r="J2">
        <v>107</v>
      </c>
      <c r="K2">
        <v>0</v>
      </c>
      <c r="L2">
        <v>481</v>
      </c>
      <c r="M2">
        <v>75</v>
      </c>
    </row>
    <row r="3" spans="1:15" x14ac:dyDescent="0.3">
      <c r="A3" t="s">
        <v>683</v>
      </c>
      <c r="B3">
        <v>8</v>
      </c>
      <c r="C3">
        <v>1</v>
      </c>
      <c r="D3" t="s">
        <v>194</v>
      </c>
      <c r="E3">
        <v>1.24</v>
      </c>
      <c r="F3">
        <v>0.19682520000000001</v>
      </c>
      <c r="G3">
        <v>1</v>
      </c>
      <c r="H3">
        <v>4</v>
      </c>
      <c r="I3">
        <v>4</v>
      </c>
      <c r="J3">
        <v>107</v>
      </c>
      <c r="K3">
        <v>0</v>
      </c>
      <c r="L3">
        <v>481</v>
      </c>
      <c r="M3">
        <v>75</v>
      </c>
    </row>
    <row r="4" spans="1:15" x14ac:dyDescent="0.3">
      <c r="A4" t="s">
        <v>684</v>
      </c>
      <c r="B4">
        <v>8</v>
      </c>
      <c r="C4">
        <v>1</v>
      </c>
      <c r="D4" t="s">
        <v>194</v>
      </c>
      <c r="E4">
        <v>24.72</v>
      </c>
      <c r="F4">
        <v>3.9238056000000001</v>
      </c>
      <c r="G4">
        <v>1</v>
      </c>
      <c r="H4">
        <v>1</v>
      </c>
      <c r="I4">
        <v>1</v>
      </c>
      <c r="J4">
        <v>0</v>
      </c>
      <c r="K4">
        <v>0</v>
      </c>
      <c r="L4">
        <v>1312</v>
      </c>
      <c r="M4">
        <v>0</v>
      </c>
    </row>
    <row r="5" spans="1:15" x14ac:dyDescent="0.3">
      <c r="A5" t="s">
        <v>685</v>
      </c>
      <c r="B5">
        <v>8</v>
      </c>
      <c r="C5">
        <v>1</v>
      </c>
      <c r="D5" t="s">
        <v>194</v>
      </c>
      <c r="E5">
        <v>9.33</v>
      </c>
      <c r="F5">
        <v>1.4809509000000001</v>
      </c>
      <c r="G5">
        <v>1</v>
      </c>
      <c r="H5">
        <v>1</v>
      </c>
      <c r="I5">
        <v>1</v>
      </c>
      <c r="J5">
        <v>0</v>
      </c>
      <c r="K5">
        <v>0</v>
      </c>
      <c r="L5">
        <v>1312</v>
      </c>
      <c r="M5">
        <v>0</v>
      </c>
    </row>
    <row r="6" spans="1:15" x14ac:dyDescent="0.3">
      <c r="A6" t="s">
        <v>686</v>
      </c>
      <c r="B6">
        <v>8</v>
      </c>
      <c r="C6">
        <v>1</v>
      </c>
      <c r="D6" t="s">
        <v>194</v>
      </c>
      <c r="E6">
        <v>6.72</v>
      </c>
      <c r="F6">
        <v>1.0666656000000001</v>
      </c>
      <c r="G6">
        <v>1</v>
      </c>
      <c r="H6">
        <v>1</v>
      </c>
      <c r="I6">
        <v>1</v>
      </c>
      <c r="J6">
        <v>0</v>
      </c>
      <c r="K6">
        <v>0</v>
      </c>
      <c r="L6">
        <v>1312</v>
      </c>
      <c r="M6">
        <v>0</v>
      </c>
    </row>
    <row r="7" spans="1:15" x14ac:dyDescent="0.3">
      <c r="A7" t="s">
        <v>687</v>
      </c>
      <c r="B7">
        <v>8</v>
      </c>
      <c r="C7">
        <v>1</v>
      </c>
      <c r="D7" t="s">
        <v>194</v>
      </c>
      <c r="E7">
        <v>6.72</v>
      </c>
      <c r="F7">
        <v>1.0666656000000001</v>
      </c>
      <c r="G7">
        <v>1</v>
      </c>
      <c r="H7">
        <v>1</v>
      </c>
      <c r="I7">
        <v>1</v>
      </c>
      <c r="J7">
        <v>0</v>
      </c>
      <c r="K7">
        <v>0</v>
      </c>
      <c r="L7">
        <v>1312</v>
      </c>
      <c r="M7">
        <v>0</v>
      </c>
    </row>
    <row r="8" spans="1:15" x14ac:dyDescent="0.3">
      <c r="A8" t="s">
        <v>688</v>
      </c>
      <c r="B8">
        <v>8</v>
      </c>
      <c r="C8">
        <v>1</v>
      </c>
      <c r="D8" t="s">
        <v>194</v>
      </c>
      <c r="E8">
        <v>8.0399999999999991</v>
      </c>
      <c r="F8">
        <v>1.2761891999999999</v>
      </c>
      <c r="G8">
        <v>1</v>
      </c>
      <c r="H8">
        <v>1</v>
      </c>
      <c r="I8">
        <v>1</v>
      </c>
      <c r="J8">
        <v>0</v>
      </c>
      <c r="K8">
        <v>0</v>
      </c>
      <c r="L8">
        <v>1312</v>
      </c>
      <c r="M8">
        <v>0</v>
      </c>
    </row>
    <row r="9" spans="1:15" x14ac:dyDescent="0.3">
      <c r="A9" t="s">
        <v>689</v>
      </c>
      <c r="B9">
        <v>8</v>
      </c>
      <c r="C9">
        <v>1</v>
      </c>
      <c r="D9" t="s">
        <v>194</v>
      </c>
      <c r="E9">
        <v>4.8410000000000002</v>
      </c>
      <c r="F9">
        <v>0.76841193000000008</v>
      </c>
      <c r="G9">
        <v>1</v>
      </c>
      <c r="H9">
        <v>1</v>
      </c>
      <c r="I9">
        <v>1</v>
      </c>
      <c r="J9">
        <v>0</v>
      </c>
      <c r="K9">
        <v>0</v>
      </c>
      <c r="L9">
        <v>1940</v>
      </c>
      <c r="M9">
        <v>0</v>
      </c>
    </row>
    <row r="10" spans="1:15" x14ac:dyDescent="0.3">
      <c r="A10" t="s">
        <v>690</v>
      </c>
      <c r="B10">
        <v>8</v>
      </c>
      <c r="C10">
        <v>1</v>
      </c>
      <c r="D10" t="s">
        <v>194</v>
      </c>
      <c r="E10">
        <v>15.45</v>
      </c>
      <c r="F10">
        <v>2.4523785</v>
      </c>
      <c r="G10">
        <v>1</v>
      </c>
      <c r="H10">
        <v>1</v>
      </c>
      <c r="I10">
        <v>1</v>
      </c>
      <c r="J10">
        <v>0</v>
      </c>
      <c r="K10">
        <v>0</v>
      </c>
      <c r="L10">
        <v>1940</v>
      </c>
      <c r="M10">
        <v>0</v>
      </c>
    </row>
    <row r="11" spans="1:15" x14ac:dyDescent="0.3">
      <c r="A11" t="s">
        <v>691</v>
      </c>
      <c r="B11">
        <v>8</v>
      </c>
      <c r="C11">
        <v>1</v>
      </c>
      <c r="D11" t="s">
        <v>194</v>
      </c>
      <c r="E11">
        <v>20.49</v>
      </c>
      <c r="F11">
        <v>3.2523776999999998</v>
      </c>
      <c r="G11">
        <v>1</v>
      </c>
      <c r="H11">
        <v>1</v>
      </c>
      <c r="I11">
        <v>1</v>
      </c>
      <c r="J11">
        <v>0</v>
      </c>
      <c r="K11">
        <v>0</v>
      </c>
      <c r="L11">
        <v>1312</v>
      </c>
      <c r="M11">
        <v>0</v>
      </c>
    </row>
    <row r="12" spans="1:15" x14ac:dyDescent="0.3">
      <c r="A12" t="s">
        <v>692</v>
      </c>
      <c r="B12">
        <v>8</v>
      </c>
      <c r="C12">
        <v>1</v>
      </c>
      <c r="D12" t="s">
        <v>194</v>
      </c>
      <c r="E12">
        <v>8.91</v>
      </c>
      <c r="F12">
        <v>1.4142843</v>
      </c>
      <c r="G12">
        <v>1</v>
      </c>
      <c r="H12">
        <v>1</v>
      </c>
      <c r="I12">
        <v>1</v>
      </c>
      <c r="J12">
        <v>0</v>
      </c>
      <c r="K12">
        <v>0</v>
      </c>
      <c r="L12">
        <v>1312</v>
      </c>
      <c r="M12">
        <v>0</v>
      </c>
    </row>
    <row r="13" spans="1:15" x14ac:dyDescent="0.3">
      <c r="A13" t="s">
        <v>693</v>
      </c>
      <c r="B13">
        <v>8</v>
      </c>
      <c r="C13">
        <v>1</v>
      </c>
      <c r="D13" t="s">
        <v>194</v>
      </c>
      <c r="E13">
        <v>18.39</v>
      </c>
      <c r="F13">
        <v>2.9190447000000002</v>
      </c>
      <c r="G13">
        <v>1</v>
      </c>
      <c r="H13">
        <v>1</v>
      </c>
      <c r="I13">
        <v>1</v>
      </c>
      <c r="J13">
        <v>0</v>
      </c>
      <c r="K13">
        <v>0</v>
      </c>
      <c r="L13">
        <v>1312</v>
      </c>
      <c r="M13">
        <v>0</v>
      </c>
    </row>
    <row r="14" spans="1:15" x14ac:dyDescent="0.3">
      <c r="A14" t="s">
        <v>694</v>
      </c>
      <c r="B14">
        <v>8</v>
      </c>
      <c r="C14">
        <v>1</v>
      </c>
      <c r="D14" t="s">
        <v>194</v>
      </c>
      <c r="E14">
        <v>19.53</v>
      </c>
      <c r="F14">
        <v>3.0999968999999998</v>
      </c>
      <c r="G14">
        <v>1</v>
      </c>
      <c r="H14">
        <v>1</v>
      </c>
      <c r="I14">
        <v>1</v>
      </c>
      <c r="J14">
        <v>0</v>
      </c>
      <c r="K14">
        <v>0</v>
      </c>
      <c r="L14">
        <v>1312</v>
      </c>
      <c r="M14">
        <v>0</v>
      </c>
    </row>
    <row r="15" spans="1:15" x14ac:dyDescent="0.3">
      <c r="A15" t="s">
        <v>695</v>
      </c>
      <c r="B15">
        <v>8</v>
      </c>
      <c r="C15">
        <v>1</v>
      </c>
      <c r="D15" t="s">
        <v>194</v>
      </c>
      <c r="E15">
        <v>7.92</v>
      </c>
      <c r="F15">
        <v>1.2571416</v>
      </c>
      <c r="G15">
        <v>1</v>
      </c>
      <c r="H15">
        <v>1</v>
      </c>
      <c r="I15">
        <v>1</v>
      </c>
      <c r="J15">
        <v>0</v>
      </c>
      <c r="K15">
        <v>0</v>
      </c>
      <c r="L15">
        <v>1312</v>
      </c>
      <c r="M1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PERFILES</vt:lpstr>
      <vt:lpstr>ACCESORIOS</vt:lpstr>
      <vt:lpstr>MAESTRO ACABADOS</vt:lpstr>
      <vt:lpstr>SEGUIMIENTO</vt:lpstr>
      <vt:lpstr>CONFIGURACION</vt:lpstr>
      <vt:lpstr>MAESTRO TARIFAS</vt:lpstr>
      <vt:lpstr>VALIDACION TARIFAS</vt:lpstr>
      <vt:lpstr>DATOS COSTES ACABADOS</vt:lpstr>
      <vt:lpstr>DATOS COSTES POLIAMIDAS</vt:lpstr>
      <vt:lpstr>DATOS COSTES MECANIZADOS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THERMIA</cp:lastModifiedBy>
  <dcterms:created xsi:type="dcterms:W3CDTF">2026-07-15T07:19:15Z</dcterms:created>
  <dcterms:modified xsi:type="dcterms:W3CDTF">2026-07-15T18:04:01Z</dcterms:modified>
</cp:coreProperties>
</file>